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B4E015-6A4C-43A5-B6A1-F3B87FC52B01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Match Schedule (raw)" sheetId="12" r:id="rId1"/>
    <sheet name="Stadium" sheetId="11" r:id="rId2"/>
    <sheet name="Confederation" sheetId="1" r:id="rId3"/>
    <sheet name="Results Q2" sheetId="2" r:id="rId4"/>
    <sheet name="Russia 2018 FIFA attendance" sheetId="15" r:id="rId5"/>
    <sheet name="GDP" sheetId="5" r:id="rId6"/>
    <sheet name="Missing country attendance" sheetId="14" r:id="rId7"/>
    <sheet name="All attendance" sheetId="10" r:id="rId8"/>
    <sheet name="Spectator index" sheetId="13" r:id="rId9"/>
    <sheet name="groups_long" sheetId="17" r:id="rId10"/>
    <sheet name="match_list_long" sheetId="18" r:id="rId11"/>
    <sheet name="match_grid_norm" sheetId="19" r:id="rId12"/>
  </sheets>
  <definedNames>
    <definedName name="_xlnm._FilterDatabase" localSheetId="2" hidden="1">Confederation!$A$1:$C$1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7" l="1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G2" i="14"/>
  <c r="F2" i="14"/>
  <c r="F3" i="14"/>
  <c r="F5" i="14"/>
  <c r="L28" i="5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2" i="1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S10" i="13"/>
  <c r="B2" i="14"/>
  <c r="F4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B3" i="14"/>
  <c r="B4" i="14"/>
  <c r="B5" i="14"/>
  <c r="B6" i="14"/>
  <c r="B7" i="14"/>
  <c r="B8" i="14"/>
  <c r="B9" i="14"/>
  <c r="B10" i="14"/>
  <c r="B11" i="14"/>
  <c r="B12" i="14"/>
  <c r="B13" i="14"/>
  <c r="B14" i="14"/>
  <c r="D14" i="14" s="1"/>
  <c r="B15" i="14"/>
  <c r="B16" i="14"/>
  <c r="B17" i="14"/>
  <c r="B18" i="14"/>
  <c r="B19" i="14"/>
  <c r="B20" i="14"/>
  <c r="B21" i="14"/>
  <c r="B22" i="14"/>
  <c r="D22" i="14" s="1"/>
  <c r="B23" i="14"/>
  <c r="B24" i="14"/>
  <c r="B25" i="14"/>
  <c r="B10" i="10"/>
  <c r="B11" i="10"/>
  <c r="B12" i="10"/>
  <c r="B16" i="10"/>
  <c r="B17" i="10"/>
  <c r="B19" i="10"/>
  <c r="B21" i="10"/>
  <c r="B22" i="10"/>
  <c r="B24" i="10"/>
  <c r="B25" i="10"/>
  <c r="B26" i="10"/>
  <c r="B27" i="10"/>
  <c r="B28" i="10"/>
  <c r="B29" i="10"/>
  <c r="B30" i="10"/>
  <c r="B31" i="10"/>
  <c r="B32" i="10"/>
  <c r="B33" i="10"/>
  <c r="B35" i="10"/>
  <c r="B36" i="10"/>
  <c r="B38" i="10"/>
  <c r="B40" i="10"/>
  <c r="B43" i="10"/>
  <c r="B9" i="10"/>
  <c r="D4" i="14"/>
  <c r="B48" i="10" s="1"/>
  <c r="D5" i="14"/>
  <c r="B20" i="10" s="1"/>
  <c r="D6" i="14"/>
  <c r="B15" i="10" s="1"/>
  <c r="D7" i="14"/>
  <c r="B7" i="10" s="1"/>
  <c r="D8" i="14"/>
  <c r="B18" i="10" s="1"/>
  <c r="D9" i="14"/>
  <c r="B4" i="10" s="1"/>
  <c r="D10" i="14"/>
  <c r="B14" i="10" s="1"/>
  <c r="D11" i="14"/>
  <c r="B47" i="10" s="1"/>
  <c r="D12" i="14"/>
  <c r="B2" i="10" s="1"/>
  <c r="D13" i="14"/>
  <c r="B3" i="10" s="1"/>
  <c r="B23" i="10"/>
  <c r="D15" i="14"/>
  <c r="B49" i="10" s="1"/>
  <c r="D16" i="14"/>
  <c r="B37" i="10" s="1"/>
  <c r="D17" i="14"/>
  <c r="B42" i="10" s="1"/>
  <c r="D18" i="14"/>
  <c r="B39" i="10" s="1"/>
  <c r="D19" i="14"/>
  <c r="B13" i="10" s="1"/>
  <c r="D20" i="14"/>
  <c r="B8" i="10" s="1"/>
  <c r="D21" i="14"/>
  <c r="B6" i="10" s="1"/>
  <c r="B34" i="10"/>
  <c r="D23" i="14"/>
  <c r="B45" i="10" s="1"/>
  <c r="D24" i="14"/>
  <c r="B46" i="10" s="1"/>
  <c r="D25" i="14"/>
  <c r="B41" i="10" s="1"/>
  <c r="U2" i="13"/>
  <c r="U3" i="13"/>
  <c r="U4" i="13"/>
  <c r="V2" i="13"/>
  <c r="S11" i="13"/>
  <c r="S12" i="13"/>
  <c r="S13" i="13"/>
  <c r="S17" i="13"/>
  <c r="S18" i="13"/>
  <c r="S20" i="13"/>
  <c r="S22" i="13"/>
  <c r="S23" i="13"/>
  <c r="S25" i="13"/>
  <c r="S26" i="13"/>
  <c r="S27" i="13"/>
  <c r="S28" i="13"/>
  <c r="S29" i="13"/>
  <c r="S30" i="13"/>
  <c r="S31" i="13"/>
  <c r="S32" i="13"/>
  <c r="S33" i="13"/>
  <c r="S34" i="13"/>
  <c r="S36" i="13"/>
  <c r="S37" i="13"/>
  <c r="S39" i="13"/>
  <c r="S2" i="13"/>
  <c r="S43" i="13"/>
  <c r="S44" i="13"/>
  <c r="S6" i="13"/>
  <c r="S48" i="13"/>
  <c r="S21" i="13"/>
  <c r="S16" i="13"/>
  <c r="S8" i="13"/>
  <c r="S19" i="13"/>
  <c r="S5" i="13"/>
  <c r="S15" i="13"/>
  <c r="S47" i="13"/>
  <c r="S3" i="13"/>
  <c r="S4" i="13"/>
  <c r="S24" i="13"/>
  <c r="S49" i="13"/>
  <c r="S38" i="13"/>
  <c r="S42" i="13"/>
  <c r="S40" i="13"/>
  <c r="S14" i="13"/>
  <c r="S9" i="13"/>
  <c r="S7" i="13"/>
  <c r="S35" i="13"/>
  <c r="S45" i="13"/>
  <c r="S46" i="13"/>
  <c r="S41" i="13"/>
  <c r="I8" i="11"/>
  <c r="I2" i="11"/>
  <c r="I3" i="11"/>
  <c r="I4" i="11"/>
  <c r="I5" i="11"/>
  <c r="I6" i="11"/>
  <c r="I7" i="11"/>
  <c r="I9" i="11"/>
  <c r="I10" i="11"/>
  <c r="I11" i="11"/>
  <c r="I12" i="11"/>
  <c r="I13" i="11"/>
  <c r="I14" i="11"/>
  <c r="I15" i="11"/>
  <c r="I16" i="11"/>
  <c r="I17" i="11"/>
  <c r="O26" i="5"/>
  <c r="M26" i="5"/>
  <c r="N26" i="5" s="1"/>
  <c r="L26" i="5"/>
  <c r="O46" i="5"/>
  <c r="M46" i="5"/>
  <c r="N46" i="5" s="1"/>
  <c r="L46" i="5"/>
  <c r="O23" i="5"/>
  <c r="M23" i="5"/>
  <c r="N23" i="5" s="1"/>
  <c r="L23" i="5"/>
  <c r="O14" i="5"/>
  <c r="M14" i="5"/>
  <c r="N14" i="5" s="1"/>
  <c r="L14" i="5"/>
  <c r="O31" i="5"/>
  <c r="M31" i="5"/>
  <c r="N31" i="5" s="1"/>
  <c r="L31" i="5"/>
  <c r="O44" i="5"/>
  <c r="M44" i="5"/>
  <c r="N44" i="5" s="1"/>
  <c r="L44" i="5"/>
  <c r="O22" i="5"/>
  <c r="M22" i="5"/>
  <c r="N22" i="5" s="1"/>
  <c r="L22" i="5"/>
  <c r="O49" i="5"/>
  <c r="M49" i="5"/>
  <c r="N49" i="5" s="1"/>
  <c r="L49" i="5"/>
  <c r="O40" i="5"/>
  <c r="M40" i="5"/>
  <c r="N40" i="5" s="1"/>
  <c r="L40" i="5"/>
  <c r="O9" i="5"/>
  <c r="M9" i="5"/>
  <c r="N9" i="5" s="1"/>
  <c r="L9" i="5"/>
  <c r="O36" i="5"/>
  <c r="M36" i="5"/>
  <c r="N36" i="5" s="1"/>
  <c r="L36" i="5"/>
  <c r="O29" i="5"/>
  <c r="M29" i="5"/>
  <c r="N29" i="5" s="1"/>
  <c r="L29" i="5"/>
  <c r="O3" i="5"/>
  <c r="M3" i="5"/>
  <c r="N3" i="5" s="1"/>
  <c r="L3" i="5"/>
  <c r="O48" i="5"/>
  <c r="M48" i="5"/>
  <c r="N48" i="5" s="1"/>
  <c r="L48" i="5"/>
  <c r="O16" i="5"/>
  <c r="M16" i="5"/>
  <c r="N16" i="5" s="1"/>
  <c r="L16" i="5"/>
  <c r="O35" i="5"/>
  <c r="M35" i="5"/>
  <c r="N35" i="5" s="1"/>
  <c r="L35" i="5"/>
  <c r="O24" i="5"/>
  <c r="M24" i="5"/>
  <c r="N24" i="5" s="1"/>
  <c r="L24" i="5"/>
  <c r="O20" i="5"/>
  <c r="M20" i="5"/>
  <c r="N20" i="5" s="1"/>
  <c r="L20" i="5"/>
  <c r="O38" i="5"/>
  <c r="M38" i="5"/>
  <c r="N38" i="5" s="1"/>
  <c r="L38" i="5"/>
  <c r="O19" i="5"/>
  <c r="M19" i="5"/>
  <c r="N19" i="5" s="1"/>
  <c r="L19" i="5"/>
  <c r="O15" i="5"/>
  <c r="M15" i="5"/>
  <c r="N15" i="5" s="1"/>
  <c r="L15" i="5"/>
  <c r="O39" i="5"/>
  <c r="M39" i="5"/>
  <c r="N39" i="5" s="1"/>
  <c r="L39" i="5"/>
  <c r="O43" i="5"/>
  <c r="M43" i="5"/>
  <c r="N43" i="5" s="1"/>
  <c r="L43" i="5"/>
  <c r="O10" i="5"/>
  <c r="M10" i="5"/>
  <c r="N10" i="5" s="1"/>
  <c r="L10" i="5"/>
  <c r="O37" i="5"/>
  <c r="M37" i="5"/>
  <c r="N37" i="5" s="1"/>
  <c r="L37" i="5"/>
  <c r="O41" i="5"/>
  <c r="M41" i="5"/>
  <c r="N41" i="5" s="1"/>
  <c r="L41" i="5"/>
  <c r="O21" i="5"/>
  <c r="M21" i="5"/>
  <c r="N21" i="5" s="1"/>
  <c r="L21" i="5"/>
  <c r="O7" i="5"/>
  <c r="M7" i="5"/>
  <c r="N7" i="5" s="1"/>
  <c r="L7" i="5"/>
  <c r="O32" i="5"/>
  <c r="M32" i="5"/>
  <c r="N32" i="5" s="1"/>
  <c r="L32" i="5"/>
  <c r="O45" i="5"/>
  <c r="M45" i="5"/>
  <c r="N45" i="5" s="1"/>
  <c r="L45" i="5"/>
  <c r="O25" i="5"/>
  <c r="M25" i="5"/>
  <c r="N25" i="5" s="1"/>
  <c r="L25" i="5"/>
  <c r="O11" i="5"/>
  <c r="M11" i="5"/>
  <c r="N11" i="5" s="1"/>
  <c r="L11" i="5"/>
  <c r="O27" i="5"/>
  <c r="M27" i="5"/>
  <c r="N27" i="5" s="1"/>
  <c r="L27" i="5"/>
  <c r="O8" i="5"/>
  <c r="M8" i="5"/>
  <c r="N8" i="5" s="1"/>
  <c r="L8" i="5"/>
  <c r="O33" i="5"/>
  <c r="M33" i="5"/>
  <c r="N33" i="5" s="1"/>
  <c r="L33" i="5"/>
  <c r="O4" i="5"/>
  <c r="M4" i="5"/>
  <c r="N4" i="5" s="1"/>
  <c r="L4" i="5"/>
  <c r="O13" i="5"/>
  <c r="M13" i="5"/>
  <c r="N13" i="5" s="1"/>
  <c r="L13" i="5"/>
  <c r="O47" i="5"/>
  <c r="M47" i="5"/>
  <c r="N47" i="5" s="1"/>
  <c r="L47" i="5"/>
  <c r="O42" i="5"/>
  <c r="M42" i="5"/>
  <c r="N42" i="5" s="1"/>
  <c r="L42" i="5"/>
  <c r="O30" i="5"/>
  <c r="M30" i="5"/>
  <c r="N30" i="5" s="1"/>
  <c r="L30" i="5"/>
  <c r="O17" i="5"/>
  <c r="M17" i="5"/>
  <c r="N17" i="5" s="1"/>
  <c r="L17" i="5"/>
  <c r="O2" i="5"/>
  <c r="M2" i="5"/>
  <c r="N2" i="5" s="1"/>
  <c r="L2" i="5"/>
  <c r="O5" i="5"/>
  <c r="M5" i="5"/>
  <c r="N5" i="5" s="1"/>
  <c r="L5" i="5"/>
  <c r="O12" i="5"/>
  <c r="M12" i="5"/>
  <c r="N12" i="5" s="1"/>
  <c r="L12" i="5"/>
  <c r="O6" i="5"/>
  <c r="M6" i="5"/>
  <c r="N6" i="5" s="1"/>
  <c r="L6" i="5"/>
  <c r="O18" i="5"/>
  <c r="M18" i="5"/>
  <c r="N18" i="5" s="1"/>
  <c r="L18" i="5"/>
  <c r="O34" i="5"/>
  <c r="M34" i="5"/>
  <c r="N34" i="5" s="1"/>
  <c r="L34" i="5"/>
  <c r="O28" i="5"/>
  <c r="M28" i="5"/>
  <c r="N28" i="5" s="1"/>
  <c r="D3" i="14" l="1"/>
  <c r="B5" i="10" s="1"/>
  <c r="D2" i="14"/>
  <c r="B44" i="10" s="1"/>
  <c r="Q34" i="5"/>
  <c r="P18" i="5"/>
  <c r="Q6" i="5"/>
  <c r="Q12" i="5"/>
  <c r="Q5" i="5"/>
  <c r="Q2" i="5"/>
  <c r="Q17" i="5"/>
  <c r="Q30" i="5"/>
  <c r="Q42" i="5"/>
  <c r="Q47" i="5"/>
  <c r="Q13" i="5"/>
  <c r="Q4" i="5"/>
  <c r="Q8" i="5"/>
  <c r="Q27" i="5"/>
  <c r="Q11" i="5"/>
  <c r="Q25" i="5"/>
  <c r="Q45" i="5"/>
  <c r="Q32" i="5"/>
  <c r="Q7" i="5"/>
  <c r="Q21" i="5"/>
  <c r="Q41" i="5"/>
  <c r="Q37" i="5"/>
  <c r="Q10" i="5"/>
  <c r="Q43" i="5"/>
  <c r="Q39" i="5"/>
  <c r="Q15" i="5"/>
  <c r="Q19" i="5"/>
  <c r="Q38" i="5"/>
  <c r="Q20" i="5"/>
  <c r="Q24" i="5"/>
  <c r="Q35" i="5"/>
  <c r="Q16" i="5"/>
  <c r="Q48" i="5"/>
  <c r="Q3" i="5"/>
  <c r="Q36" i="5"/>
  <c r="Q9" i="5"/>
  <c r="Q40" i="5"/>
  <c r="Q22" i="5"/>
  <c r="Q44" i="5"/>
  <c r="Q31" i="5"/>
  <c r="Q14" i="5"/>
  <c r="Q23" i="5"/>
  <c r="Q46" i="5"/>
  <c r="Q26" i="5"/>
  <c r="Q18" i="5"/>
  <c r="Q49" i="5"/>
  <c r="Q33" i="5"/>
  <c r="Q29" i="5"/>
  <c r="Q28" i="5"/>
  <c r="P14" i="5"/>
  <c r="R14" i="5" s="1"/>
  <c r="P17" i="5"/>
  <c r="R17" i="5" s="1"/>
  <c r="P10" i="5"/>
  <c r="R10" i="5" s="1"/>
  <c r="P37" i="5"/>
  <c r="R37" i="5" s="1"/>
  <c r="P41" i="5"/>
  <c r="R41" i="5" s="1"/>
  <c r="P21" i="5"/>
  <c r="R21" i="5" s="1"/>
  <c r="P7" i="5"/>
  <c r="R7" i="5" s="1"/>
  <c r="P32" i="5"/>
  <c r="R32" i="5" s="1"/>
  <c r="P45" i="5"/>
  <c r="R45" i="5" s="1"/>
  <c r="P25" i="5"/>
  <c r="R25" i="5" s="1"/>
  <c r="P11" i="5"/>
  <c r="R11" i="5" s="1"/>
  <c r="P27" i="5"/>
  <c r="R27" i="5" s="1"/>
  <c r="P8" i="5"/>
  <c r="R8" i="5" s="1"/>
  <c r="P30" i="5"/>
  <c r="R30" i="5" s="1"/>
  <c r="P6" i="5"/>
  <c r="R6" i="5" s="1"/>
  <c r="P34" i="5"/>
  <c r="R34" i="5" s="1"/>
  <c r="P28" i="5"/>
  <c r="P44" i="5"/>
  <c r="R44" i="5" s="1"/>
  <c r="P22" i="5"/>
  <c r="R22" i="5" s="1"/>
  <c r="P49" i="5"/>
  <c r="R49" i="5" s="1"/>
  <c r="P40" i="5"/>
  <c r="R40" i="5" s="1"/>
  <c r="P9" i="5"/>
  <c r="R9" i="5" s="1"/>
  <c r="P16" i="5"/>
  <c r="R16" i="5" s="1"/>
  <c r="P19" i="5"/>
  <c r="R19" i="5" s="1"/>
  <c r="P4" i="5"/>
  <c r="R4" i="5" s="1"/>
  <c r="P47" i="5"/>
  <c r="R47" i="5" s="1"/>
  <c r="P42" i="5"/>
  <c r="R42" i="5" s="1"/>
  <c r="R18" i="5"/>
  <c r="P26" i="5"/>
  <c r="R26" i="5" s="1"/>
  <c r="P46" i="5"/>
  <c r="R46" i="5" s="1"/>
  <c r="P23" i="5"/>
  <c r="R23" i="5" s="1"/>
  <c r="P31" i="5"/>
  <c r="R31" i="5" s="1"/>
  <c r="P36" i="5"/>
  <c r="R36" i="5" s="1"/>
  <c r="P29" i="5"/>
  <c r="P3" i="5"/>
  <c r="R3" i="5" s="1"/>
  <c r="P48" i="5"/>
  <c r="R48" i="5" s="1"/>
  <c r="P35" i="5"/>
  <c r="R35" i="5" s="1"/>
  <c r="P24" i="5"/>
  <c r="R24" i="5" s="1"/>
  <c r="P20" i="5"/>
  <c r="R20" i="5" s="1"/>
  <c r="P38" i="5"/>
  <c r="R38" i="5" s="1"/>
  <c r="P33" i="5"/>
  <c r="R33" i="5" s="1"/>
  <c r="P15" i="5"/>
  <c r="R15" i="5" s="1"/>
  <c r="P39" i="5"/>
  <c r="R39" i="5" s="1"/>
  <c r="P43" i="5"/>
  <c r="R43" i="5" s="1"/>
  <c r="P13" i="5"/>
  <c r="R13" i="5" s="1"/>
  <c r="P2" i="5"/>
  <c r="R2" i="5" s="1"/>
  <c r="P5" i="5"/>
  <c r="R5" i="5" s="1"/>
  <c r="P12" i="5"/>
  <c r="R12" i="5" s="1"/>
  <c r="C44" i="10" l="1"/>
  <c r="B44" i="13" s="1"/>
  <c r="C5" i="10"/>
  <c r="C41" i="10"/>
  <c r="C46" i="10"/>
  <c r="C45" i="10"/>
  <c r="C34" i="10"/>
  <c r="C6" i="10"/>
  <c r="C8" i="10"/>
  <c r="C13" i="10"/>
  <c r="C39" i="10"/>
  <c r="C42" i="10"/>
  <c r="C37" i="10"/>
  <c r="C49" i="10"/>
  <c r="C23" i="10"/>
  <c r="C3" i="10"/>
  <c r="C9" i="10"/>
  <c r="C10" i="10"/>
  <c r="C11" i="10"/>
  <c r="C12" i="10"/>
  <c r="C16" i="10"/>
  <c r="C17" i="10"/>
  <c r="C19" i="10"/>
  <c r="C21" i="10"/>
  <c r="C22" i="10"/>
  <c r="C24" i="10"/>
  <c r="C25" i="10"/>
  <c r="C26" i="10"/>
  <c r="C27" i="10"/>
  <c r="C28" i="10"/>
  <c r="C29" i="10"/>
  <c r="C30" i="10"/>
  <c r="C31" i="10"/>
  <c r="C32" i="10"/>
  <c r="C33" i="10"/>
  <c r="C35" i="10"/>
  <c r="C36" i="10"/>
  <c r="C38" i="10"/>
  <c r="C40" i="10"/>
  <c r="C43" i="10"/>
  <c r="C2" i="10"/>
  <c r="C47" i="10"/>
  <c r="C14" i="10"/>
  <c r="C4" i="10"/>
  <c r="C18" i="10"/>
  <c r="C7" i="10"/>
  <c r="C15" i="10"/>
  <c r="C20" i="10"/>
  <c r="C48" i="10"/>
  <c r="B6" i="13"/>
  <c r="B41" i="13"/>
  <c r="B46" i="13"/>
  <c r="B45" i="13"/>
  <c r="B35" i="13"/>
  <c r="B7" i="13"/>
  <c r="B9" i="13"/>
  <c r="B14" i="13"/>
  <c r="B40" i="13"/>
  <c r="B42" i="13"/>
  <c r="B38" i="13"/>
  <c r="B49" i="13"/>
  <c r="B24" i="13"/>
  <c r="B4" i="13"/>
  <c r="B47" i="13"/>
  <c r="B15" i="13"/>
  <c r="B5" i="13"/>
  <c r="B19" i="13"/>
  <c r="B8" i="13"/>
  <c r="B16" i="13"/>
  <c r="B21" i="13"/>
  <c r="B48" i="13"/>
  <c r="B10" i="13"/>
  <c r="B43" i="13"/>
  <c r="B2" i="13"/>
  <c r="C2" i="13" s="1"/>
  <c r="B39" i="13"/>
  <c r="B37" i="13"/>
  <c r="B36" i="13"/>
  <c r="B34" i="13"/>
  <c r="B33" i="13"/>
  <c r="B32" i="13"/>
  <c r="B31" i="13"/>
  <c r="B30" i="13"/>
  <c r="B29" i="13"/>
  <c r="B28" i="13"/>
  <c r="B27" i="13"/>
  <c r="B26" i="13"/>
  <c r="B25" i="13"/>
  <c r="B23" i="13"/>
  <c r="B22" i="13"/>
  <c r="B20" i="13"/>
  <c r="B18" i="13"/>
  <c r="B17" i="13"/>
  <c r="B13" i="13"/>
  <c r="B12" i="13"/>
  <c r="B11" i="13"/>
  <c r="B3" i="13"/>
  <c r="R28" i="5"/>
  <c r="R29" i="5"/>
  <c r="D11" i="13" l="1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T48" i="13" s="1"/>
  <c r="U48" i="13" s="1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T21" i="13" s="1"/>
  <c r="U21" i="13" s="1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T16" i="13" s="1"/>
  <c r="U16" i="13" s="1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T8" i="13" s="1"/>
  <c r="U8" i="13" s="1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T19" i="13" s="1"/>
  <c r="U19" i="13" s="1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T5" i="13" s="1"/>
  <c r="U5" i="13" s="1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T15" i="13" s="1"/>
  <c r="U15" i="13" s="1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T47" i="13" s="1"/>
  <c r="U47" i="13" s="1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T3" i="13" s="1"/>
  <c r="V3" i="13" s="1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T24" i="13" s="1"/>
  <c r="U24" i="13" s="1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T49" i="13" s="1"/>
  <c r="U49" i="13" s="1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T38" i="13" s="1"/>
  <c r="U38" i="13" s="1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T42" i="13" s="1"/>
  <c r="U42" i="13" s="1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T40" i="13" s="1"/>
  <c r="U40" i="13" s="1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T14" i="13" s="1"/>
  <c r="U14" i="13" s="1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T9" i="13" s="1"/>
  <c r="U9" i="13" s="1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T7" i="13" s="1"/>
  <c r="U7" i="13" s="1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T35" i="13" s="1"/>
  <c r="U35" i="13" s="1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T45" i="13" s="1"/>
  <c r="U45" i="13" s="1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T46" i="13" s="1"/>
  <c r="U46" i="13" s="1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T41" i="13" s="1"/>
  <c r="U41" i="13" s="1"/>
  <c r="C10" i="13"/>
  <c r="Q10" i="13"/>
  <c r="P10" i="13"/>
  <c r="O10" i="13"/>
  <c r="N10" i="13"/>
  <c r="M10" i="13"/>
  <c r="L10" i="13"/>
  <c r="K10" i="13"/>
  <c r="J10" i="13"/>
  <c r="H10" i="13"/>
  <c r="G10" i="13"/>
  <c r="F10" i="13"/>
  <c r="E10" i="13"/>
  <c r="D10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T43" i="13" s="1"/>
  <c r="U43" i="13" s="1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T2" i="13" s="1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T39" i="13" s="1"/>
  <c r="U39" i="13" s="1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T37" i="13" s="1"/>
  <c r="U37" i="13" s="1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T36" i="13" s="1"/>
  <c r="U36" i="13" s="1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T34" i="13" s="1"/>
  <c r="U34" i="13" s="1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T33" i="13" s="1"/>
  <c r="U33" i="13" s="1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T32" i="13" s="1"/>
  <c r="U32" i="13" s="1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T31" i="13" s="1"/>
  <c r="U31" i="13" s="1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T30" i="13" s="1"/>
  <c r="U30" i="13" s="1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T29" i="13" s="1"/>
  <c r="U29" i="13" s="1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T28" i="13" s="1"/>
  <c r="U28" i="13" s="1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T27" i="13" s="1"/>
  <c r="U27" i="13" s="1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T26" i="13" s="1"/>
  <c r="U26" i="13" s="1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T25" i="13" s="1"/>
  <c r="U25" i="13" s="1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T23" i="13" s="1"/>
  <c r="U23" i="13" s="1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T22" i="13" s="1"/>
  <c r="U22" i="13" s="1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T20" i="13" s="1"/>
  <c r="U20" i="13" s="1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T18" i="13" s="1"/>
  <c r="U18" i="13" s="1"/>
  <c r="Q17" i="13"/>
  <c r="R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T17" i="13" s="1"/>
  <c r="U17" i="13" s="1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T13" i="13" s="1"/>
  <c r="U13" i="13" s="1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T12" i="13" s="1"/>
  <c r="U12" i="13" s="1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C11" i="13"/>
  <c r="T11" i="13" s="1"/>
  <c r="U11" i="13" s="1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T44" i="13" s="1"/>
  <c r="U44" i="13" s="1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T6" i="13" s="1"/>
  <c r="U6" i="13" s="1"/>
  <c r="V21" i="13"/>
  <c r="V4" i="13" l="1"/>
  <c r="T4" i="13"/>
  <c r="V41" i="13"/>
  <c r="I10" i="13"/>
  <c r="R10" i="13"/>
  <c r="V11" i="13"/>
  <c r="V12" i="13"/>
  <c r="V13" i="13"/>
  <c r="V17" i="13"/>
  <c r="V18" i="13"/>
  <c r="V20" i="13"/>
  <c r="V22" i="13"/>
  <c r="V23" i="13"/>
  <c r="V25" i="13"/>
  <c r="V26" i="13"/>
  <c r="V27" i="13"/>
  <c r="V28" i="13"/>
  <c r="V29" i="13"/>
  <c r="V30" i="13"/>
  <c r="V31" i="13"/>
  <c r="V32" i="13"/>
  <c r="V33" i="13"/>
  <c r="V34" i="13"/>
  <c r="V36" i="13"/>
  <c r="V37" i="13"/>
  <c r="V39" i="13"/>
  <c r="V43" i="13"/>
  <c r="T10" i="13"/>
  <c r="U10" i="13" s="1"/>
  <c r="V46" i="13"/>
  <c r="V45" i="13"/>
  <c r="V35" i="13"/>
  <c r="V7" i="13"/>
  <c r="V9" i="13"/>
  <c r="V14" i="13"/>
  <c r="V40" i="13"/>
  <c r="V42" i="13"/>
  <c r="V38" i="13"/>
  <c r="V49" i="13"/>
  <c r="V24" i="13"/>
  <c r="V47" i="13"/>
  <c r="V15" i="13"/>
  <c r="V5" i="13"/>
  <c r="V19" i="13"/>
  <c r="V8" i="13"/>
  <c r="V16" i="13"/>
  <c r="V48" i="13"/>
  <c r="V44" i="13"/>
  <c r="V6" i="13"/>
  <c r="V10" i="13" l="1"/>
</calcChain>
</file>

<file path=xl/sharedStrings.xml><?xml version="1.0" encoding="utf-8"?>
<sst xmlns="http://schemas.openxmlformats.org/spreadsheetml/2006/main" count="1619" uniqueCount="413">
  <si>
    <t>Match</t>
  </si>
  <si>
    <t>Date</t>
  </si>
  <si>
    <t>Group</t>
  </si>
  <si>
    <t>Team 1</t>
  </si>
  <si>
    <t>Team 2</t>
  </si>
  <si>
    <t>Stadium</t>
  </si>
  <si>
    <t>City</t>
  </si>
  <si>
    <t>A</t>
  </si>
  <si>
    <t>Mexico</t>
  </si>
  <si>
    <t>South Africa</t>
  </si>
  <si>
    <t>Mexico City Stadium</t>
  </si>
  <si>
    <t>Mexico City</t>
  </si>
  <si>
    <t>Korea Republic</t>
  </si>
  <si>
    <t>Denmark</t>
  </si>
  <si>
    <t>Guadalajara Stadium</t>
  </si>
  <si>
    <t>Guadalajara</t>
  </si>
  <si>
    <t>Atlanta Stadium</t>
  </si>
  <si>
    <t>Atlanta</t>
  </si>
  <si>
    <t>Monterrey Stadium</t>
  </si>
  <si>
    <t>Monterrey</t>
  </si>
  <si>
    <t>B</t>
  </si>
  <si>
    <t>Canada</t>
  </si>
  <si>
    <t>Italy</t>
  </si>
  <si>
    <t>Toronto Stadium</t>
  </si>
  <si>
    <t>Toronto</t>
  </si>
  <si>
    <t>Qatar</t>
  </si>
  <si>
    <t>Switzerland</t>
  </si>
  <si>
    <t>San Francisco Bay Area Stadium</t>
  </si>
  <si>
    <t>Santa Clara</t>
  </si>
  <si>
    <t>Los Angeles Stadium</t>
  </si>
  <si>
    <t>Inglewood</t>
  </si>
  <si>
    <t>Vancouver Stadium</t>
  </si>
  <si>
    <t>Vancouver</t>
  </si>
  <si>
    <t>Seattle Stadium</t>
  </si>
  <si>
    <t>Seattle</t>
  </si>
  <si>
    <t>C</t>
  </si>
  <si>
    <t>Brazil</t>
  </si>
  <si>
    <t>Morocco</t>
  </si>
  <si>
    <t>New York New Jersey Stadium</t>
  </si>
  <si>
    <t>East Rutherford</t>
  </si>
  <si>
    <t>Haiti</t>
  </si>
  <si>
    <t>Scotland</t>
  </si>
  <si>
    <t>Boston Stadium</t>
  </si>
  <si>
    <t>Foxborough</t>
  </si>
  <si>
    <t>Philadelphia Stadium</t>
  </si>
  <si>
    <t>Philadelphia</t>
  </si>
  <si>
    <t>Miami Stadium</t>
  </si>
  <si>
    <t>Miami</t>
  </si>
  <si>
    <t>D</t>
  </si>
  <si>
    <t>United States</t>
  </si>
  <si>
    <t>Paraguay</t>
  </si>
  <si>
    <t>Australia</t>
  </si>
  <si>
    <t>Turkiye</t>
  </si>
  <si>
    <t>E</t>
  </si>
  <si>
    <t>Germany</t>
  </si>
  <si>
    <t>Curaçao</t>
  </si>
  <si>
    <t>Houston Stadium</t>
  </si>
  <si>
    <t>Houston</t>
  </si>
  <si>
    <t>Côte d’Ivoire</t>
  </si>
  <si>
    <t>Ecuador</t>
  </si>
  <si>
    <t>Kansas City Stadium</t>
  </si>
  <si>
    <t>Kansas City</t>
  </si>
  <si>
    <t>F</t>
  </si>
  <si>
    <t>Netherlands</t>
  </si>
  <si>
    <t>Japan</t>
  </si>
  <si>
    <t>Dallas Stadium</t>
  </si>
  <si>
    <t>Arlington</t>
  </si>
  <si>
    <t>Ukraine</t>
  </si>
  <si>
    <t>Tunisia</t>
  </si>
  <si>
    <t>G</t>
  </si>
  <si>
    <t>Belgium</t>
  </si>
  <si>
    <t>Egypt</t>
  </si>
  <si>
    <t>Iran</t>
  </si>
  <si>
    <t>New Zealand</t>
  </si>
  <si>
    <t>H</t>
  </si>
  <si>
    <t>Spain</t>
  </si>
  <si>
    <t>Cabo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</si>
  <si>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</si>
  <si>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</si>
  <si>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</si>
  <si>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</si>
  <si>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</si>
  <si>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</si>
  <si>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</si>
  <si>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</si>
  <si>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</si>
  <si>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</si>
  <si>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</si>
  <si>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</si>
  <si>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</si>
  <si>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</si>
  <si>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</si>
  <si>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Uzbekistan</t>
  </si>
  <si>
    <t>Colombia</t>
  </si>
  <si>
    <t>L</t>
  </si>
  <si>
    <t>England</t>
  </si>
  <si>
    <t>Croatia</t>
  </si>
  <si>
    <t>Ghana</t>
  </si>
  <si>
    <t>Panama</t>
  </si>
  <si>
    <t>Stadium Name</t>
  </si>
  <si>
    <t>FIFA Name</t>
  </si>
  <si>
    <t>Address</t>
  </si>
  <si>
    <t>Country</t>
  </si>
  <si>
    <t>Capacity</t>
  </si>
  <si>
    <t>Seating capacity (fans from a nation)</t>
  </si>
  <si>
    <t>No. of group matchs</t>
  </si>
  <si>
    <t>Probability of each stadium being used</t>
  </si>
  <si>
    <t>MetLife Stadium</t>
  </si>
  <si>
    <t>1 MetLife Stadium Dr, East Rutherford, NJ 07073, USA</t>
  </si>
  <si>
    <t>USA</t>
  </si>
  <si>
    <t>Estadio Azteca</t>
  </si>
  <si>
    <t>Calz. de Tlalpan 3465, Sta. Úrsula Coapa, Coyoacán, 04650 Ciudad de México, CDMX, Mexico</t>
  </si>
  <si>
    <t>AT&amp;T Stadium</t>
  </si>
  <si>
    <t>1 AT&amp;T Way, Arlington, TX 76011, USA</t>
  </si>
  <si>
    <t>SoFi Stadium</t>
  </si>
  <si>
    <t>1001 Stadium Dr, Inglewood, CA 90301, USA</t>
  </si>
  <si>
    <t>Levi's Stadium</t>
  </si>
  <si>
    <t>4900 Marie P DeBartolo Way, Santa Clara, CA 95054, USA</t>
  </si>
  <si>
    <t>NRG Stadium</t>
  </si>
  <si>
    <t>NRG Pkwy, Houston, TX 77054, USA</t>
  </si>
  <si>
    <t>GEHA Field at Arrowhead Stadium</t>
  </si>
  <si>
    <t>1 Arrowhead Dr, Kansas City, MO 64129, USA</t>
  </si>
  <si>
    <t>Mercedes-Benz Stadium</t>
  </si>
  <si>
    <t>1 AMB Dr NW, Atlanta, GA 30313, USA</t>
  </si>
  <si>
    <t>Lincoln Financial Field</t>
  </si>
  <si>
    <t>One Lincoln Financial Field Way, Philadelphia, PA 19148, USA</t>
  </si>
  <si>
    <t>Lumen Field</t>
  </si>
  <si>
    <t>800 Occidental Ave S, Seattle, WA 98134, USA</t>
  </si>
  <si>
    <t>Hard Rock Stadium</t>
  </si>
  <si>
    <t>347 Don Shula Dr, Miami Gardens, FL 33056, USA</t>
  </si>
  <si>
    <t>Miami Gardens</t>
  </si>
  <si>
    <t>Gillette Stadium</t>
  </si>
  <si>
    <t>1 Patriot Pl, Foxborough, MA 02035, USA</t>
  </si>
  <si>
    <t>Estadio BBVA</t>
  </si>
  <si>
    <t>Av. Pablo Livas 2011, colonia La Pastora, C.P. 67140, en Guadalupe, Nuevo León, Mexico</t>
  </si>
  <si>
    <t>Guadalupe</t>
  </si>
  <si>
    <t>BC Place</t>
  </si>
  <si>
    <t>777 Pacific Blvd, Vancouver, BC V6B 4Y8, Canada</t>
  </si>
  <si>
    <t>Estadio Akron</t>
  </si>
  <si>
    <t>Circuito J.V.C. 2800, El Bajío, 45014 Zapopan, Jalisco, Mexico</t>
  </si>
  <si>
    <t>Zapopan</t>
  </si>
  <si>
    <t>BMO Field</t>
  </si>
  <si>
    <t>170 Princes' Blvd, Toronto, ON M6K 3C3, Canada</t>
  </si>
  <si>
    <t>Team</t>
  </si>
  <si>
    <t>Confederation</t>
  </si>
  <si>
    <t>FIFA Points</t>
  </si>
  <si>
    <t>UEFA</t>
  </si>
  <si>
    <t>CONMEBOL</t>
  </si>
  <si>
    <t>CAF</t>
  </si>
  <si>
    <t>United States (USA)</t>
  </si>
  <si>
    <t>CONCACAF</t>
  </si>
  <si>
    <t>AFC</t>
  </si>
  <si>
    <t>Iran (IR Iran)</t>
  </si>
  <si>
    <t xml:space="preserve">UEFA </t>
  </si>
  <si>
    <t>Turkey</t>
  </si>
  <si>
    <t xml:space="preserve">DR Congo </t>
  </si>
  <si>
    <t>OFC</t>
  </si>
  <si>
    <t>Group 1:</t>
  </si>
  <si>
    <t>Group 2:</t>
  </si>
  <si>
    <t>Group 3:</t>
  </si>
  <si>
    <t>Group 4:</t>
  </si>
  <si>
    <t>Group 5:</t>
  </si>
  <si>
    <t>Group 6:</t>
  </si>
  <si>
    <t>Group 7:</t>
  </si>
  <si>
    <t>Group 8:</t>
  </si>
  <si>
    <t>Group 9:</t>
  </si>
  <si>
    <t>Group 10:</t>
  </si>
  <si>
    <t>Group 11:</t>
  </si>
  <si>
    <t>Group 12:</t>
  </si>
  <si>
    <t>Rank</t>
  </si>
  <si>
    <t>Confederations</t>
  </si>
  <si>
    <t xml:space="preserve">Available average attendance </t>
  </si>
  <si>
    <t>Capital_city</t>
  </si>
  <si>
    <t>GDP_worldbank (2024) ($)</t>
  </si>
  <si>
    <t>distance_to_host_min_km</t>
  </si>
  <si>
    <t>nearest_host_capital</t>
  </si>
  <si>
    <t>distance_to_washington_km</t>
  </si>
  <si>
    <t>distance_to_ottawa_km</t>
  </si>
  <si>
    <t>distance_to_mexico_city_km</t>
  </si>
  <si>
    <t>diaspora_us_2024</t>
  </si>
  <si>
    <t>diaspora_ca_2021</t>
  </si>
  <si>
    <t>diaspora_mx_2024</t>
  </si>
  <si>
    <t>diaspora_total</t>
  </si>
  <si>
    <t>dist_adj </t>
  </si>
  <si>
    <t xml:space="preserve">inv_dist </t>
  </si>
  <si>
    <t>gdp_norm</t>
  </si>
  <si>
    <t>inv_dist_norm</t>
  </si>
  <si>
    <t>diaspora_norm（min-max）</t>
  </si>
  <si>
    <t>g_i (proxy)</t>
  </si>
  <si>
    <t>Bern</t>
  </si>
  <si>
    <t>Ottawa</t>
  </si>
  <si>
    <t>Oslo</t>
  </si>
  <si>
    <t>NA</t>
  </si>
  <si>
    <t>Washington, D.C.</t>
  </si>
  <si>
    <t>Doha</t>
  </si>
  <si>
    <t>Copenhagen</t>
  </si>
  <si>
    <t>Amsterdam</t>
  </si>
  <si>
    <t>Canberra</t>
  </si>
  <si>
    <t>Vienna</t>
  </si>
  <si>
    <t>Brussels</t>
  </si>
  <si>
    <t>Berlin</t>
  </si>
  <si>
    <t>Edinburgh</t>
  </si>
  <si>
    <t>London</t>
  </si>
  <si>
    <t>Wellington</t>
  </si>
  <si>
    <t>Paris</t>
  </si>
  <si>
    <t>Rome</t>
  </si>
  <si>
    <t>Seoul</t>
  </si>
  <si>
    <t>Madrid</t>
  </si>
  <si>
    <t>Riyadh</t>
  </si>
  <si>
    <t>Tokyo</t>
  </si>
  <si>
    <t>Lisbon</t>
  </si>
  <si>
    <t>Zagreb</t>
  </si>
  <si>
    <t>Montevideo</t>
  </si>
  <si>
    <t>Willemstad</t>
  </si>
  <si>
    <t>Panama City</t>
  </si>
  <si>
    <t>Ankara</t>
  </si>
  <si>
    <t>Buenos Aires</t>
  </si>
  <si>
    <t>Brasília</t>
  </si>
  <si>
    <t>Bogotá</t>
  </si>
  <si>
    <t>Quito</t>
  </si>
  <si>
    <t>Asunción</t>
  </si>
  <si>
    <t>Pretoria</t>
  </si>
  <si>
    <t>Sucre</t>
  </si>
  <si>
    <t>Algiers</t>
  </si>
  <si>
    <t>Kiev</t>
  </si>
  <si>
    <t>Praia</t>
  </si>
  <si>
    <t>Tehran</t>
  </si>
  <si>
    <t>Amman</t>
  </si>
  <si>
    <t>Tunis</t>
  </si>
  <si>
    <t>Rabat</t>
  </si>
  <si>
    <t>Cairo</t>
  </si>
  <si>
    <t>Tashkent</t>
  </si>
  <si>
    <t>Yamoussoukro</t>
  </si>
  <si>
    <t>Accra</t>
  </si>
  <si>
    <t>Port-au-Prince</t>
  </si>
  <si>
    <t>Dakar</t>
  </si>
  <si>
    <t>Kinshasa</t>
  </si>
  <si>
    <t>Country (A)</t>
  </si>
  <si>
    <t>GDP_A_worldbank (2024) ($)</t>
  </si>
  <si>
    <t>Total attendance (A)</t>
  </si>
  <si>
    <t>Nearest Country (B) from the same confederation</t>
  </si>
  <si>
    <t>GDP_B_worldbank (2024) ($)</t>
  </si>
  <si>
    <t>Total attendance (B)</t>
  </si>
  <si>
    <t>Countries</t>
  </si>
  <si>
    <t>Available average attendance (2018)</t>
  </si>
  <si>
    <t>Relative Demand Scaling</t>
  </si>
  <si>
    <t>Estimated attendance</t>
  </si>
  <si>
    <t>Expected attendance</t>
  </si>
  <si>
    <t>Probability</t>
  </si>
  <si>
    <t>weighted avg</t>
  </si>
  <si>
    <t>SI</t>
  </si>
  <si>
    <t>SI percentage (%)</t>
  </si>
  <si>
    <t>group_num</t>
  </si>
  <si>
    <t>team</t>
  </si>
  <si>
    <t>rank_in_group</t>
  </si>
  <si>
    <t>spectator_index</t>
  </si>
  <si>
    <t>row_set_id</t>
  </si>
  <si>
    <t>slot_id</t>
  </si>
  <si>
    <t>match_code</t>
  </si>
  <si>
    <t>group_letter</t>
  </si>
  <si>
    <t>rank_a</t>
  </si>
  <si>
    <t>rank_b</t>
  </si>
  <si>
    <t>D3-D4</t>
  </si>
  <si>
    <t>B1-B3</t>
  </si>
  <si>
    <t>G2-G4</t>
  </si>
  <si>
    <t>B1-B4</t>
  </si>
  <si>
    <t>G1-G4</t>
  </si>
  <si>
    <t>G1-G2</t>
  </si>
  <si>
    <t>D1-D3</t>
  </si>
  <si>
    <t>B2-B3</t>
  </si>
  <si>
    <t>G2-G3</t>
  </si>
  <si>
    <t>B3-B4</t>
  </si>
  <si>
    <t>J3-J4</t>
  </si>
  <si>
    <t>D2-D4</t>
  </si>
  <si>
    <t>J2-J4</t>
  </si>
  <si>
    <t>D2-D3</t>
  </si>
  <si>
    <t>D1-D2</t>
  </si>
  <si>
    <t>G3-G4</t>
  </si>
  <si>
    <t>B2-B4</t>
  </si>
  <si>
    <t>G1-G3</t>
  </si>
  <si>
    <t>D1-D4</t>
  </si>
  <si>
    <t>A3-A4</t>
  </si>
  <si>
    <t>A1-A3</t>
  </si>
  <si>
    <t>K2-K4</t>
  </si>
  <si>
    <t>H1-H4</t>
  </si>
  <si>
    <t>A1-A2</t>
  </si>
  <si>
    <t>K3-K4</t>
  </si>
  <si>
    <t>A1-A4</t>
  </si>
  <si>
    <t>F3-F4</t>
  </si>
  <si>
    <t>F2-F4</t>
  </si>
  <si>
    <t>A2-A3</t>
  </si>
  <si>
    <t>E1-E2</t>
  </si>
  <si>
    <t>K1-K2</t>
  </si>
  <si>
    <t>F1-F3</t>
  </si>
  <si>
    <t>K1-K3</t>
  </si>
  <si>
    <t>H2-H3</t>
  </si>
  <si>
    <t>F1-F2</t>
  </si>
  <si>
    <t>L1-L2</t>
  </si>
  <si>
    <t>J1-J3</t>
  </si>
  <si>
    <t>F2-F3</t>
  </si>
  <si>
    <t>J1-J4</t>
  </si>
  <si>
    <t>J1-J2</t>
  </si>
  <si>
    <t>E2-E4</t>
  </si>
  <si>
    <t>F1-F4</t>
  </si>
  <si>
    <t>J2-J3</t>
  </si>
  <si>
    <t>H1-H2</t>
  </si>
  <si>
    <t>A2-A4</t>
  </si>
  <si>
    <t>H1-H3</t>
  </si>
  <si>
    <t>C2-C3</t>
  </si>
  <si>
    <t>K2-K3</t>
  </si>
  <si>
    <t>H3-H4</t>
  </si>
  <si>
    <t>H2-H4</t>
  </si>
  <si>
    <t>C1-C4</t>
  </si>
  <si>
    <t>K1-K4</t>
  </si>
  <si>
    <t>B1-B2</t>
  </si>
  <si>
    <t>L3-L4</t>
  </si>
  <si>
    <t>E1-E3</t>
  </si>
  <si>
    <t>L2-L4</t>
  </si>
  <si>
    <t>I2-I3</t>
  </si>
  <si>
    <t>C3-C4</t>
  </si>
  <si>
    <t>I3-I4</t>
  </si>
  <si>
    <t>C2-C4</t>
  </si>
  <si>
    <t>L1-L3</t>
  </si>
  <si>
    <t>I1-I4</t>
  </si>
  <si>
    <t>E3-E4</t>
  </si>
  <si>
    <t>C1-C3</t>
  </si>
  <si>
    <t>I1-I3</t>
  </si>
  <si>
    <t>E2-E3</t>
  </si>
  <si>
    <t>L2-L3</t>
  </si>
  <si>
    <t>C1-C2</t>
  </si>
  <si>
    <t>I1-I2</t>
  </si>
  <si>
    <t>I2-I4</t>
  </si>
  <si>
    <t>E1-E4</t>
  </si>
  <si>
    <t>L1-L4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</si>
  <si>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</si>
  <si>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</si>
  <si>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</si>
  <si>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</si>
  <si>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</si>
  <si>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</si>
  <si>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</si>
  <si>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</si>
  <si>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</si>
  <si>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</si>
  <si>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</si>
  <si>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</si>
  <si>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</si>
  <si>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</si>
  <si>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</si>
  <si>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</si>
  <si>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</si>
  <si>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/>
  </si>
  <si>
    <t xml:space="preserve">   Pot 1 - Spain (1877.18)</t>
  </si>
  <si>
    <t xml:space="preserve">   Pot 2 - Korea Republic (1599.45)</t>
  </si>
  <si>
    <t xml:space="preserve">   Pot 3 - Paraguay (1501.5)</t>
  </si>
  <si>
    <t xml:space="preserve">   Pot 4 - Cabo Verde (1370.49)</t>
  </si>
  <si>
    <t xml:space="preserve">   Total Points: 6348.62</t>
  </si>
  <si>
    <t xml:space="preserve">   Pot 1 - Argentina (1873.33)</t>
  </si>
  <si>
    <t xml:space="preserve">   Pot 2 - United States (USA) (1681.88)</t>
  </si>
  <si>
    <t xml:space="preserve">   Pot 3 - Norway (1553.14)</t>
  </si>
  <si>
    <t xml:space="preserve">   Pot 4 - New Zealand (1279.25)</t>
  </si>
  <si>
    <t xml:space="preserve">   Total Points: 6387.6</t>
  </si>
  <si>
    <t xml:space="preserve">   Pot 1 - Brazil (1760.46)</t>
  </si>
  <si>
    <t xml:space="preserve">   Pot 2 - Denmark (1616.75)</t>
  </si>
  <si>
    <t xml:space="preserve">   Pot 3 - Panama (1539.47)</t>
  </si>
  <si>
    <t xml:space="preserve">   Pot 4 - Qatar (1454.96)</t>
  </si>
  <si>
    <t xml:space="preserve">   Total Points: 6371.64</t>
  </si>
  <si>
    <t xml:space="preserve">   Pot 1 - Croatia (1716.88)</t>
  </si>
  <si>
    <t xml:space="preserve">   Pot 2 - Iran (IR Iran) (1617.02)</t>
  </si>
  <si>
    <t xml:space="preserve">   Pot 3 - Turkey (1582.69)</t>
  </si>
  <si>
    <t xml:space="preserve">   Pot 4 - South Africa (1432.76)</t>
  </si>
  <si>
    <t xml:space="preserve">   Total Points: 6349.35</t>
  </si>
  <si>
    <t xml:space="preserve">   Pot 1 - Portugal (1760.38)</t>
  </si>
  <si>
    <t xml:space="preserve">   Pot 2 - Mexico (1675.75)</t>
  </si>
  <si>
    <t xml:space="preserve">   Pot 3 - Tunisia (1479.04)</t>
  </si>
  <si>
    <t xml:space="preserve">   Pot 4 - Saudi Arabia (1429.48)</t>
  </si>
  <si>
    <t xml:space="preserve">   Total Points: 6344.65</t>
  </si>
  <si>
    <t xml:space="preserve">   Pot 1 - England (1834.12)</t>
  </si>
  <si>
    <t xml:space="preserve">   Pot 2 - Japan (1650.12)</t>
  </si>
  <si>
    <t xml:space="preserve">   Pot 3 - Egypt (1556.71)</t>
  </si>
  <si>
    <t xml:space="preserve">   Pot 4 - Curaçao (1302.7)</t>
  </si>
  <si>
    <t xml:space="preserve">   Total Points: 6343.65</t>
  </si>
  <si>
    <t xml:space="preserve">   Pot 1 - Netherlands (1756.27)</t>
  </si>
  <si>
    <t xml:space="preserve">   Pot 2 - Colombia (1701.3)</t>
  </si>
  <si>
    <t xml:space="preserve">   Pot 3 - Canada (1559.15)</t>
  </si>
  <si>
    <t xml:space="preserve">   Pot 4 - Ghana (1351.09)</t>
  </si>
  <si>
    <t xml:space="preserve">   Total Points: 6367.8099999999995</t>
  </si>
  <si>
    <t xml:space="preserve">   Pot 1 - Senegal (1706.83)</t>
  </si>
  <si>
    <t xml:space="preserve">   Pot 2 - Italy (1702.06)</t>
  </si>
  <si>
    <t xml:space="preserve">   Pot 3 - Scotland (1506.77)</t>
  </si>
  <si>
    <t xml:space="preserve">   Pot 4 - Iraq (1436.94)</t>
  </si>
  <si>
    <t xml:space="preserve">   Total Points: 6352.6</t>
  </si>
  <si>
    <t xml:space="preserve">   Pot 1 - Morocco (1736.56)</t>
  </si>
  <si>
    <t xml:space="preserve">   Pot 2 - Uruguay (1672.62)</t>
  </si>
  <si>
    <t xml:space="preserve">   Pot 3 - Ukraine (1557.47)</t>
  </si>
  <si>
    <t xml:space="preserve">   Pot 4 - Jordan (1388.93)</t>
  </si>
  <si>
    <t xml:space="preserve">   Total Points: 6355.58</t>
  </si>
  <si>
    <t xml:space="preserve">   Pot 1 - France (1870.0)</t>
  </si>
  <si>
    <t xml:space="preserve">   Pot 2 - Switzerland (1654.69)</t>
  </si>
  <si>
    <t xml:space="preserve">   Pot 3 - Côte d’Ivoire (1522.49)</t>
  </si>
  <si>
    <t xml:space="preserve">   Pot 4 - Haiti (1294.49)</t>
  </si>
  <si>
    <t xml:space="preserve">   Total Points: 6341.67</t>
  </si>
  <si>
    <t xml:space="preserve">   Pot 1 - Belgium (1730.71)</t>
  </si>
  <si>
    <t xml:space="preserve">   Pot 2 - Ecuador (1591.73)</t>
  </si>
  <si>
    <t xml:space="preserve">   Pot 3 - Algeria (1560.91)</t>
  </si>
  <si>
    <t xml:space="preserve">   Pot 4 - Uzbekistan (1462.03)</t>
  </si>
  <si>
    <t xml:space="preserve">   Total Points: 6345.38</t>
  </si>
  <si>
    <t xml:space="preserve">   Pot 1 - Germany (1724.15)</t>
  </si>
  <si>
    <t xml:space="preserve">   Pot 2 - Austria (1585.51)</t>
  </si>
  <si>
    <t xml:space="preserve">   Pot 3 - Australia (1574.01)</t>
  </si>
  <si>
    <t xml:space="preserve">   Pot 4 - DR Congo  (1468.22)</t>
  </si>
  <si>
    <t xml:space="preserve">   Total Points: 6351.89</t>
  </si>
  <si>
    <t>Minimum Group Strength (w): 6341.67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</si>
</sst>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.0000"/>
    <numFmt numFmtId="166" formatCode="0.00_ "/>
    <numFmt numFmtId="167" formatCode="0.00_);[Red]\(0.00\)"/>
  </numFmts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u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0" xfId="1"/>
    <xf numFmtId="1" fontId="4" fillId="0" borderId="0" xfId="0" applyNumberFormat="1" applyFont="1" applyAlignment="1">
      <alignment wrapText="1"/>
    </xf>
    <xf numFmtId="2" fontId="7" fillId="0" borderId="2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ootystats.org/international/fifa-world-cup-2018-russia/attend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D9C0-DCC7-4AB5-AF72-F2F7301AFBB9}">
  <dimension ref="A1:G73"/>
  <sheetViews>
    <sheetView zoomScale="125" workbookViewId="0">
      <selection activeCell="E53" sqref="E53"/>
    </sheetView>
  </sheetViews>
  <sheetFormatPr defaultColWidth="8.796875" defaultRowHeight="15.6" x14ac:dyDescent="0.3"/>
  <cols>
    <col min="4" max="5" width="18.69921875" customWidth="1"/>
    <col min="6" max="6" width="26.296875" customWidth="1"/>
    <col min="7" max="7" width="26.796875" customWidth="1"/>
  </cols>
  <sheetData>
    <row r="1" spans="1:7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x14ac:dyDescent="0.3">
      <c r="A2" s="24">
        <v>1</v>
      </c>
      <c r="B2" s="26">
        <v>46184</v>
      </c>
      <c r="C2" s="24" t="s">
        <v>7</v>
      </c>
      <c r="D2" s="24" t="s">
        <v>8</v>
      </c>
      <c r="E2" s="24" t="s">
        <v>9</v>
      </c>
      <c r="F2" s="24" t="s">
        <v>10</v>
      </c>
      <c r="G2" s="24" t="s">
        <v>11</v>
      </c>
    </row>
    <row r="3" spans="1:7" x14ac:dyDescent="0.3">
      <c r="A3" s="24">
        <v>2</v>
      </c>
      <c r="B3" s="26">
        <v>46184</v>
      </c>
      <c r="C3" s="24" t="s">
        <v>7</v>
      </c>
      <c r="D3" s="24" t="s">
        <v>12</v>
      </c>
      <c r="E3" s="24" t="s">
        <v>13</v>
      </c>
      <c r="F3" s="24" t="s">
        <v>14</v>
      </c>
      <c r="G3" s="24" t="s">
        <v>15</v>
      </c>
    </row>
    <row r="4" spans="1:7" x14ac:dyDescent="0.3">
      <c r="A4" s="24">
        <v>3</v>
      </c>
      <c r="B4" s="26">
        <v>46191</v>
      </c>
      <c r="C4" s="24" t="s">
        <v>7</v>
      </c>
      <c r="D4" s="24" t="s">
        <v>13</v>
      </c>
      <c r="E4" s="24" t="s">
        <v>9</v>
      </c>
      <c r="F4" s="24" t="s">
        <v>16</v>
      </c>
      <c r="G4" s="24" t="s">
        <v>17</v>
      </c>
    </row>
    <row r="5" spans="1:7" x14ac:dyDescent="0.3">
      <c r="A5" s="24">
        <v>4</v>
      </c>
      <c r="B5" s="26">
        <v>46191</v>
      </c>
      <c r="C5" s="24" t="s">
        <v>7</v>
      </c>
      <c r="D5" s="24" t="s">
        <v>8</v>
      </c>
      <c r="E5" s="24" t="s">
        <v>12</v>
      </c>
      <c r="F5" s="24" t="s">
        <v>14</v>
      </c>
      <c r="G5" s="24" t="s">
        <v>15</v>
      </c>
    </row>
    <row r="6" spans="1:7" x14ac:dyDescent="0.3">
      <c r="A6" s="24">
        <v>5</v>
      </c>
      <c r="B6" s="26">
        <v>46197</v>
      </c>
      <c r="C6" s="24" t="s">
        <v>7</v>
      </c>
      <c r="D6" s="24" t="s">
        <v>13</v>
      </c>
      <c r="E6" s="24" t="s">
        <v>8</v>
      </c>
      <c r="F6" s="24" t="s">
        <v>10</v>
      </c>
      <c r="G6" s="24" t="s">
        <v>11</v>
      </c>
    </row>
    <row r="7" spans="1:7" x14ac:dyDescent="0.3">
      <c r="A7" s="24">
        <v>6</v>
      </c>
      <c r="B7" s="26">
        <v>46197</v>
      </c>
      <c r="C7" s="24" t="s">
        <v>7</v>
      </c>
      <c r="D7" s="24" t="s">
        <v>9</v>
      </c>
      <c r="E7" s="24" t="s">
        <v>12</v>
      </c>
      <c r="F7" s="24" t="s">
        <v>18</v>
      </c>
      <c r="G7" s="24" t="s">
        <v>19</v>
      </c>
    </row>
    <row r="8" spans="1:7" x14ac:dyDescent="0.3">
      <c r="A8" s="24">
        <v>7</v>
      </c>
      <c r="B8" s="26">
        <v>46185</v>
      </c>
      <c r="C8" s="24" t="s">
        <v>20</v>
      </c>
      <c r="D8" s="24" t="s">
        <v>21</v>
      </c>
      <c r="E8" s="24" t="s">
        <v>22</v>
      </c>
      <c r="F8" s="24" t="s">
        <v>23</v>
      </c>
      <c r="G8" s="24" t="s">
        <v>24</v>
      </c>
    </row>
    <row r="9" spans="1:7" x14ac:dyDescent="0.3">
      <c r="A9" s="24">
        <v>8</v>
      </c>
      <c r="B9" s="26">
        <v>46186</v>
      </c>
      <c r="C9" s="24" t="s">
        <v>20</v>
      </c>
      <c r="D9" s="24" t="s">
        <v>25</v>
      </c>
      <c r="E9" s="24" t="s">
        <v>26</v>
      </c>
      <c r="F9" s="24" t="s">
        <v>27</v>
      </c>
      <c r="G9" s="24" t="s">
        <v>28</v>
      </c>
    </row>
    <row r="10" spans="1:7" x14ac:dyDescent="0.3">
      <c r="A10" s="24">
        <v>9</v>
      </c>
      <c r="B10" s="26">
        <v>46191</v>
      </c>
      <c r="C10" s="24" t="s">
        <v>20</v>
      </c>
      <c r="D10" s="24" t="s">
        <v>26</v>
      </c>
      <c r="E10" s="24" t="s">
        <v>22</v>
      </c>
      <c r="F10" s="24" t="s">
        <v>29</v>
      </c>
      <c r="G10" s="24" t="s">
        <v>30</v>
      </c>
    </row>
    <row r="11" spans="1:7" x14ac:dyDescent="0.3">
      <c r="A11" s="24">
        <v>10</v>
      </c>
      <c r="B11" s="26">
        <v>46191</v>
      </c>
      <c r="C11" s="24" t="s">
        <v>20</v>
      </c>
      <c r="D11" s="24" t="s">
        <v>21</v>
      </c>
      <c r="E11" s="24" t="s">
        <v>25</v>
      </c>
      <c r="F11" s="24" t="s">
        <v>31</v>
      </c>
      <c r="G11" s="24" t="s">
        <v>32</v>
      </c>
    </row>
    <row r="12" spans="1:7" x14ac:dyDescent="0.3">
      <c r="A12" s="24">
        <v>11</v>
      </c>
      <c r="B12" s="26">
        <v>46197</v>
      </c>
      <c r="C12" s="24" t="s">
        <v>20</v>
      </c>
      <c r="D12" s="24" t="s">
        <v>26</v>
      </c>
      <c r="E12" s="24" t="s">
        <v>21</v>
      </c>
      <c r="F12" s="24" t="s">
        <v>31</v>
      </c>
      <c r="G12" s="24" t="s">
        <v>32</v>
      </c>
    </row>
    <row r="13" spans="1:7" x14ac:dyDescent="0.3">
      <c r="A13" s="24">
        <v>12</v>
      </c>
      <c r="B13" s="26">
        <v>46197</v>
      </c>
      <c r="C13" s="24" t="s">
        <v>20</v>
      </c>
      <c r="D13" s="24" t="s">
        <v>22</v>
      </c>
      <c r="E13" s="24" t="s">
        <v>25</v>
      </c>
      <c r="F13" s="24" t="s">
        <v>33</v>
      </c>
      <c r="G13" s="24" t="s">
        <v>34</v>
      </c>
    </row>
    <row r="14" spans="1:7" x14ac:dyDescent="0.3">
      <c r="A14" s="24">
        <v>13</v>
      </c>
      <c r="B14" s="26">
        <v>46186</v>
      </c>
      <c r="C14" s="24" t="s">
        <v>35</v>
      </c>
      <c r="D14" s="24" t="s">
        <v>36</v>
      </c>
      <c r="E14" s="24" t="s">
        <v>37</v>
      </c>
      <c r="F14" s="24" t="s">
        <v>38</v>
      </c>
      <c r="G14" s="24" t="s">
        <v>39</v>
      </c>
    </row>
    <row r="15" spans="1:7" x14ac:dyDescent="0.3">
      <c r="A15" s="24">
        <v>14</v>
      </c>
      <c r="B15" s="26">
        <v>46186</v>
      </c>
      <c r="C15" s="24" t="s">
        <v>35</v>
      </c>
      <c r="D15" s="24" t="s">
        <v>40</v>
      </c>
      <c r="E15" s="24" t="s">
        <v>41</v>
      </c>
      <c r="F15" s="24" t="s">
        <v>42</v>
      </c>
      <c r="G15" s="24" t="s">
        <v>43</v>
      </c>
    </row>
    <row r="16" spans="1:7" x14ac:dyDescent="0.3">
      <c r="A16" s="24">
        <v>15</v>
      </c>
      <c r="B16" s="26">
        <v>46192</v>
      </c>
      <c r="C16" s="24" t="s">
        <v>35</v>
      </c>
      <c r="D16" s="24" t="s">
        <v>41</v>
      </c>
      <c r="E16" s="24" t="s">
        <v>37</v>
      </c>
      <c r="F16" s="24" t="s">
        <v>42</v>
      </c>
      <c r="G16" s="24" t="s">
        <v>43</v>
      </c>
    </row>
    <row r="17" spans="1:7" x14ac:dyDescent="0.3">
      <c r="A17" s="24">
        <v>16</v>
      </c>
      <c r="B17" s="26">
        <v>46192</v>
      </c>
      <c r="C17" s="24" t="s">
        <v>35</v>
      </c>
      <c r="D17" s="24" t="s">
        <v>36</v>
      </c>
      <c r="E17" s="24" t="s">
        <v>40</v>
      </c>
      <c r="F17" s="24" t="s">
        <v>44</v>
      </c>
      <c r="G17" s="24" t="s">
        <v>45</v>
      </c>
    </row>
    <row r="18" spans="1:7" x14ac:dyDescent="0.3">
      <c r="A18" s="24">
        <v>17</v>
      </c>
      <c r="B18" s="26">
        <v>46197</v>
      </c>
      <c r="C18" s="24" t="s">
        <v>35</v>
      </c>
      <c r="D18" s="24" t="s">
        <v>41</v>
      </c>
      <c r="E18" s="24" t="s">
        <v>36</v>
      </c>
      <c r="F18" s="24" t="s">
        <v>46</v>
      </c>
      <c r="G18" s="24" t="s">
        <v>47</v>
      </c>
    </row>
    <row r="19" spans="1:7" x14ac:dyDescent="0.3">
      <c r="A19" s="24">
        <v>18</v>
      </c>
      <c r="B19" s="26">
        <v>46197</v>
      </c>
      <c r="C19" s="24" t="s">
        <v>35</v>
      </c>
      <c r="D19" s="24" t="s">
        <v>37</v>
      </c>
      <c r="E19" s="24" t="s">
        <v>40</v>
      </c>
      <c r="F19" s="24" t="s">
        <v>16</v>
      </c>
      <c r="G19" s="24" t="s">
        <v>17</v>
      </c>
    </row>
    <row r="20" spans="1:7" x14ac:dyDescent="0.3">
      <c r="A20" s="24">
        <v>19</v>
      </c>
      <c r="B20" s="26">
        <v>46185</v>
      </c>
      <c r="C20" s="24" t="s">
        <v>48</v>
      </c>
      <c r="D20" s="24" t="s">
        <v>49</v>
      </c>
      <c r="E20" s="24" t="s">
        <v>50</v>
      </c>
      <c r="F20" s="24" t="s">
        <v>29</v>
      </c>
      <c r="G20" s="24" t="s">
        <v>30</v>
      </c>
    </row>
    <row r="21" spans="1:7" x14ac:dyDescent="0.3">
      <c r="A21" s="24">
        <v>20</v>
      </c>
      <c r="B21" s="26">
        <v>46186</v>
      </c>
      <c r="C21" s="24" t="s">
        <v>48</v>
      </c>
      <c r="D21" s="24" t="s">
        <v>51</v>
      </c>
      <c r="E21" s="24" t="s">
        <v>52</v>
      </c>
      <c r="F21" s="24" t="s">
        <v>31</v>
      </c>
      <c r="G21" s="24" t="s">
        <v>32</v>
      </c>
    </row>
    <row r="22" spans="1:7" x14ac:dyDescent="0.3">
      <c r="A22" s="24">
        <v>21</v>
      </c>
      <c r="B22" s="26">
        <v>46192</v>
      </c>
      <c r="C22" s="24" t="s">
        <v>48</v>
      </c>
      <c r="D22" s="24" t="s">
        <v>52</v>
      </c>
      <c r="E22" s="24" t="s">
        <v>50</v>
      </c>
      <c r="F22" s="24" t="s">
        <v>27</v>
      </c>
      <c r="G22" s="24" t="s">
        <v>28</v>
      </c>
    </row>
    <row r="23" spans="1:7" x14ac:dyDescent="0.3">
      <c r="A23" s="24">
        <v>22</v>
      </c>
      <c r="B23" s="26">
        <v>46192</v>
      </c>
      <c r="C23" s="24" t="s">
        <v>48</v>
      </c>
      <c r="D23" s="24" t="s">
        <v>49</v>
      </c>
      <c r="E23" s="24" t="s">
        <v>51</v>
      </c>
      <c r="F23" s="24" t="s">
        <v>33</v>
      </c>
      <c r="G23" s="24" t="s">
        <v>34</v>
      </c>
    </row>
    <row r="24" spans="1:7" x14ac:dyDescent="0.3">
      <c r="A24" s="24">
        <v>23</v>
      </c>
      <c r="B24" s="26">
        <v>46198</v>
      </c>
      <c r="C24" s="24" t="s">
        <v>48</v>
      </c>
      <c r="D24" s="24" t="s">
        <v>52</v>
      </c>
      <c r="E24" s="24" t="s">
        <v>49</v>
      </c>
      <c r="F24" s="24" t="s">
        <v>29</v>
      </c>
      <c r="G24" s="24" t="s">
        <v>30</v>
      </c>
    </row>
    <row r="25" spans="1:7" x14ac:dyDescent="0.3">
      <c r="A25" s="24">
        <v>24</v>
      </c>
      <c r="B25" s="26">
        <v>46198</v>
      </c>
      <c r="C25" s="24" t="s">
        <v>48</v>
      </c>
      <c r="D25" s="24" t="s">
        <v>50</v>
      </c>
      <c r="E25" s="24" t="s">
        <v>51</v>
      </c>
      <c r="F25" s="24" t="s">
        <v>27</v>
      </c>
      <c r="G25" s="24" t="s">
        <v>28</v>
      </c>
    </row>
    <row r="26" spans="1:7" x14ac:dyDescent="0.3">
      <c r="A26" s="24">
        <v>25</v>
      </c>
      <c r="B26" s="26">
        <v>46187</v>
      </c>
      <c r="C26" s="24" t="s">
        <v>53</v>
      </c>
      <c r="D26" s="24" t="s">
        <v>54</v>
      </c>
      <c r="E26" s="24" t="s">
        <v>55</v>
      </c>
      <c r="F26" s="24" t="s">
        <v>56</v>
      </c>
      <c r="G26" s="24" t="s">
        <v>57</v>
      </c>
    </row>
    <row r="27" spans="1:7" x14ac:dyDescent="0.3">
      <c r="A27" s="24">
        <v>26</v>
      </c>
      <c r="B27" s="26">
        <v>46187</v>
      </c>
      <c r="C27" s="24" t="s">
        <v>53</v>
      </c>
      <c r="D27" s="24" t="s">
        <v>58</v>
      </c>
      <c r="E27" s="24" t="s">
        <v>59</v>
      </c>
      <c r="F27" s="24" t="s">
        <v>44</v>
      </c>
      <c r="G27" s="24" t="s">
        <v>45</v>
      </c>
    </row>
    <row r="28" spans="1:7" x14ac:dyDescent="0.3">
      <c r="A28" s="24">
        <v>27</v>
      </c>
      <c r="B28" s="26">
        <v>46193</v>
      </c>
      <c r="C28" s="24" t="s">
        <v>53</v>
      </c>
      <c r="D28" s="24" t="s">
        <v>54</v>
      </c>
      <c r="E28" s="24" t="s">
        <v>58</v>
      </c>
      <c r="F28" s="24" t="s">
        <v>23</v>
      </c>
      <c r="G28" s="24" t="s">
        <v>24</v>
      </c>
    </row>
    <row r="29" spans="1:7" x14ac:dyDescent="0.3">
      <c r="A29" s="24">
        <v>28</v>
      </c>
      <c r="B29" s="26">
        <v>46193</v>
      </c>
      <c r="C29" s="24" t="s">
        <v>53</v>
      </c>
      <c r="D29" s="24" t="s">
        <v>59</v>
      </c>
      <c r="E29" s="24" t="s">
        <v>55</v>
      </c>
      <c r="F29" s="24" t="s">
        <v>60</v>
      </c>
      <c r="G29" s="24" t="s">
        <v>61</v>
      </c>
    </row>
    <row r="30" spans="1:7" x14ac:dyDescent="0.3">
      <c r="A30" s="24">
        <v>29</v>
      </c>
      <c r="B30" s="26">
        <v>46198</v>
      </c>
      <c r="C30" s="24" t="s">
        <v>53</v>
      </c>
      <c r="D30" s="24" t="s">
        <v>55</v>
      </c>
      <c r="E30" s="24" t="s">
        <v>58</v>
      </c>
      <c r="F30" s="24" t="s">
        <v>44</v>
      </c>
      <c r="G30" s="24" t="s">
        <v>45</v>
      </c>
    </row>
    <row r="31" spans="1:7" x14ac:dyDescent="0.3">
      <c r="A31" s="24">
        <v>30</v>
      </c>
      <c r="B31" s="26">
        <v>46198</v>
      </c>
      <c r="C31" s="24" t="s">
        <v>53</v>
      </c>
      <c r="D31" s="24" t="s">
        <v>59</v>
      </c>
      <c r="E31" s="24" t="s">
        <v>54</v>
      </c>
      <c r="F31" s="24" t="s">
        <v>38</v>
      </c>
      <c r="G31" s="24" t="s">
        <v>39</v>
      </c>
    </row>
    <row r="32" spans="1:7" x14ac:dyDescent="0.3">
      <c r="A32" s="24">
        <v>31</v>
      </c>
      <c r="B32" s="26">
        <v>46187</v>
      </c>
      <c r="C32" s="24" t="s">
        <v>62</v>
      </c>
      <c r="D32" s="24" t="s">
        <v>63</v>
      </c>
      <c r="E32" s="24" t="s">
        <v>64</v>
      </c>
      <c r="F32" s="24" t="s">
        <v>65</v>
      </c>
      <c r="G32" s="24" t="s">
        <v>66</v>
      </c>
    </row>
    <row r="33" spans="1:7" x14ac:dyDescent="0.3">
      <c r="A33" s="24">
        <v>32</v>
      </c>
      <c r="B33" s="26">
        <v>46187</v>
      </c>
      <c r="C33" s="24" t="s">
        <v>62</v>
      </c>
      <c r="D33" s="24" t="s">
        <v>67</v>
      </c>
      <c r="E33" s="24" t="s">
        <v>68</v>
      </c>
      <c r="F33" s="24" t="s">
        <v>18</v>
      </c>
      <c r="G33" s="24" t="s">
        <v>19</v>
      </c>
    </row>
    <row r="34" spans="1:7" x14ac:dyDescent="0.3">
      <c r="A34" s="24">
        <v>33</v>
      </c>
      <c r="B34" s="26">
        <v>46193</v>
      </c>
      <c r="C34" s="24" t="s">
        <v>62</v>
      </c>
      <c r="D34" s="24" t="s">
        <v>63</v>
      </c>
      <c r="E34" s="24" t="s">
        <v>67</v>
      </c>
      <c r="F34" s="24" t="s">
        <v>56</v>
      </c>
      <c r="G34" s="24" t="s">
        <v>57</v>
      </c>
    </row>
    <row r="35" spans="1:7" x14ac:dyDescent="0.3">
      <c r="A35" s="24">
        <v>34</v>
      </c>
      <c r="B35" s="26">
        <v>46193</v>
      </c>
      <c r="C35" s="24" t="s">
        <v>62</v>
      </c>
      <c r="D35" s="24" t="s">
        <v>68</v>
      </c>
      <c r="E35" s="24" t="s">
        <v>64</v>
      </c>
      <c r="F35" s="24" t="s">
        <v>18</v>
      </c>
      <c r="G35" s="24" t="s">
        <v>19</v>
      </c>
    </row>
    <row r="36" spans="1:7" x14ac:dyDescent="0.3">
      <c r="A36" s="24">
        <v>35</v>
      </c>
      <c r="B36" s="26">
        <v>46198</v>
      </c>
      <c r="C36" s="24" t="s">
        <v>62</v>
      </c>
      <c r="D36" s="24" t="s">
        <v>64</v>
      </c>
      <c r="E36" s="24" t="s">
        <v>67</v>
      </c>
      <c r="F36" s="24" t="s">
        <v>65</v>
      </c>
      <c r="G36" s="24" t="s">
        <v>66</v>
      </c>
    </row>
    <row r="37" spans="1:7" x14ac:dyDescent="0.3">
      <c r="A37" s="24">
        <v>36</v>
      </c>
      <c r="B37" s="26">
        <v>46198</v>
      </c>
      <c r="C37" s="24" t="s">
        <v>62</v>
      </c>
      <c r="D37" s="24" t="s">
        <v>68</v>
      </c>
      <c r="E37" s="24" t="s">
        <v>63</v>
      </c>
      <c r="F37" s="24" t="s">
        <v>60</v>
      </c>
      <c r="G37" s="24" t="s">
        <v>61</v>
      </c>
    </row>
    <row r="38" spans="1:7" x14ac:dyDescent="0.3">
      <c r="A38" s="24">
        <v>37</v>
      </c>
      <c r="B38" s="26">
        <v>46188</v>
      </c>
      <c r="C38" s="24" t="s">
        <v>69</v>
      </c>
      <c r="D38" s="24" t="s">
        <v>70</v>
      </c>
      <c r="E38" s="24" t="s">
        <v>71</v>
      </c>
      <c r="F38" s="24" t="s">
        <v>33</v>
      </c>
      <c r="G38" s="24" t="s">
        <v>34</v>
      </c>
    </row>
    <row r="39" spans="1:7" x14ac:dyDescent="0.3">
      <c r="A39" s="24">
        <v>38</v>
      </c>
      <c r="B39" s="26">
        <v>46188</v>
      </c>
      <c r="C39" s="24" t="s">
        <v>69</v>
      </c>
      <c r="D39" s="24" t="s">
        <v>72</v>
      </c>
      <c r="E39" s="24" t="s">
        <v>73</v>
      </c>
      <c r="F39" s="24" t="s">
        <v>29</v>
      </c>
      <c r="G39" s="24" t="s">
        <v>30</v>
      </c>
    </row>
    <row r="40" spans="1:7" x14ac:dyDescent="0.3">
      <c r="A40" s="24">
        <v>39</v>
      </c>
      <c r="B40" s="26">
        <v>46194</v>
      </c>
      <c r="C40" s="24" t="s">
        <v>69</v>
      </c>
      <c r="D40" s="24" t="s">
        <v>70</v>
      </c>
      <c r="E40" s="24" t="s">
        <v>72</v>
      </c>
      <c r="F40" s="24" t="s">
        <v>29</v>
      </c>
      <c r="G40" s="24" t="s">
        <v>30</v>
      </c>
    </row>
    <row r="41" spans="1:7" x14ac:dyDescent="0.3">
      <c r="A41" s="24">
        <v>40</v>
      </c>
      <c r="B41" s="26">
        <v>46194</v>
      </c>
      <c r="C41" s="24" t="s">
        <v>69</v>
      </c>
      <c r="D41" s="24" t="s">
        <v>73</v>
      </c>
      <c r="E41" s="24" t="s">
        <v>71</v>
      </c>
      <c r="F41" s="24" t="s">
        <v>31</v>
      </c>
      <c r="G41" s="24" t="s">
        <v>32</v>
      </c>
    </row>
    <row r="42" spans="1:7" x14ac:dyDescent="0.3">
      <c r="A42" s="24">
        <v>41</v>
      </c>
      <c r="B42" s="26">
        <v>46199</v>
      </c>
      <c r="C42" s="24" t="s">
        <v>69</v>
      </c>
      <c r="D42" s="24" t="s">
        <v>71</v>
      </c>
      <c r="E42" s="24" t="s">
        <v>72</v>
      </c>
      <c r="F42" s="24" t="s">
        <v>33</v>
      </c>
      <c r="G42" s="24" t="s">
        <v>34</v>
      </c>
    </row>
    <row r="43" spans="1:7" x14ac:dyDescent="0.3">
      <c r="A43" s="24">
        <v>42</v>
      </c>
      <c r="B43" s="26">
        <v>46199</v>
      </c>
      <c r="C43" s="24" t="s">
        <v>69</v>
      </c>
      <c r="D43" s="24" t="s">
        <v>73</v>
      </c>
      <c r="E43" s="24" t="s">
        <v>70</v>
      </c>
      <c r="F43" s="24" t="s">
        <v>31</v>
      </c>
      <c r="G43" s="24" t="s">
        <v>32</v>
      </c>
    </row>
    <row r="44" spans="1:7" x14ac:dyDescent="0.3">
      <c r="A44" s="24">
        <v>43</v>
      </c>
      <c r="B44" s="26">
        <v>46188</v>
      </c>
      <c r="C44" s="24" t="s">
        <v>74</v>
      </c>
      <c r="D44" s="24" t="s">
        <v>75</v>
      </c>
      <c r="E44" s="24" t="s">
        <v>76</v>
      </c>
      <c r="F44" s="24" t="s">
        <v>16</v>
      </c>
      <c r="G44" s="24" t="s">
        <v>17</v>
      </c>
    </row>
    <row r="45" spans="1:7" x14ac:dyDescent="0.3">
      <c r="A45" s="24">
        <v>44</v>
      </c>
      <c r="B45" s="26">
        <v>46188</v>
      </c>
      <c r="C45" s="24" t="s">
        <v>74</v>
      </c>
      <c r="D45" s="24" t="s">
        <v>77</v>
      </c>
      <c r="E45" s="24" t="s">
        <v>78</v>
      </c>
      <c r="F45" s="24" t="s">
        <v>46</v>
      </c>
      <c r="G45" s="24" t="s">
        <v>47</v>
      </c>
    </row>
    <row r="46" spans="1:7" x14ac:dyDescent="0.3">
      <c r="A46" s="24">
        <v>45</v>
      </c>
      <c r="B46" s="26">
        <v>46194</v>
      </c>
      <c r="C46" s="24" t="s">
        <v>74</v>
      </c>
      <c r="D46" s="24" t="s">
        <v>75</v>
      </c>
      <c r="E46" s="24" t="s">
        <v>77</v>
      </c>
      <c r="F46" s="24" t="s">
        <v>16</v>
      </c>
      <c r="G46" s="24" t="s">
        <v>17</v>
      </c>
    </row>
    <row r="47" spans="1:7" x14ac:dyDescent="0.3">
      <c r="A47" s="24">
        <v>46</v>
      </c>
      <c r="B47" s="26">
        <v>46194</v>
      </c>
      <c r="C47" s="24" t="s">
        <v>74</v>
      </c>
      <c r="D47" s="24" t="s">
        <v>78</v>
      </c>
      <c r="E47" s="24" t="s">
        <v>76</v>
      </c>
      <c r="F47" s="24" t="s">
        <v>46</v>
      </c>
      <c r="G47" s="24" t="s">
        <v>47</v>
      </c>
    </row>
    <row r="48" spans="1:7" x14ac:dyDescent="0.3">
      <c r="A48" s="24">
        <v>47</v>
      </c>
      <c r="B48" s="26">
        <v>46199</v>
      </c>
      <c r="C48" s="24" t="s">
        <v>74</v>
      </c>
      <c r="D48" s="24" t="s">
        <v>76</v>
      </c>
      <c r="E48" s="24" t="s">
        <v>77</v>
      </c>
      <c r="F48" s="24" t="s">
        <v>56</v>
      </c>
      <c r="G48" s="24" t="s">
        <v>57</v>
      </c>
    </row>
    <row r="49" spans="1:7" x14ac:dyDescent="0.3">
      <c r="A49" s="24">
        <v>48</v>
      </c>
      <c r="B49" s="26">
        <v>46199</v>
      </c>
      <c r="C49" s="24" t="s">
        <v>74</v>
      </c>
      <c r="D49" s="24" t="s">
        <v>78</v>
      </c>
      <c r="E49" s="24" t="s">
        <v>75</v>
      </c>
      <c r="F49" s="24" t="s">
        <v>14</v>
      </c>
      <c r="G49" s="24" t="s">
        <v>15</v>
      </c>
    </row>
    <row r="50" spans="1:7" x14ac:dyDescent="0.3">
      <c r="A50" s="24">
        <v>49</v>
      </c>
      <c r="B50" s="26">
        <v>46189</v>
      </c>
      <c r="C50" s="24" t="s">
        <v>79</v>
      </c>
      <c r="D50" s="24" t="s">
        <v>80</v>
      </c>
      <c r="E50" s="24" t="s">
        <v>81</v>
      </c>
      <c r="F50" s="24" t="s">
        <v>38</v>
      </c>
      <c r="G50" s="24" t="s">
        <v>39</v>
      </c>
    </row>
    <row r="51" spans="1:7" x14ac:dyDescent="0.3">
      <c r="A51" s="24">
        <v>50</v>
      </c>
      <c r="B51" s="26">
        <v>46189</v>
      </c>
      <c r="C51" s="24" t="s">
        <v>79</v>
      </c>
      <c r="D51" s="24" t="s">
        <v>82</v>
      </c>
      <c r="E51" s="24" t="s">
        <v>83</v>
      </c>
      <c r="F51" s="24" t="s">
        <v>42</v>
      </c>
      <c r="G51" s="24" t="s">
        <v>43</v>
      </c>
    </row>
    <row r="52" spans="1:7" x14ac:dyDescent="0.3">
      <c r="A52" s="24">
        <v>51</v>
      </c>
      <c r="B52" s="26">
        <v>46195</v>
      </c>
      <c r="C52" s="24" t="s">
        <v>79</v>
      </c>
      <c r="D52" s="24" t="s">
        <v>80</v>
      </c>
      <c r="E52" s="24" t="s">
        <v>82</v>
      </c>
      <c r="F52" s="24" t="s">
        <v>44</v>
      </c>
      <c r="G52" s="24" t="s">
        <v>45</v>
      </c>
    </row>
    <row r="53" spans="1:7" x14ac:dyDescent="0.3">
      <c r="A53" s="24">
        <v>52</v>
      </c>
      <c r="B53" s="26">
        <v>46195</v>
      </c>
      <c r="C53" s="24" t="s">
        <v>79</v>
      </c>
      <c r="D53" s="24" t="s">
        <v>83</v>
      </c>
      <c r="E53" s="24" t="s">
        <v>81</v>
      </c>
      <c r="F53" s="24" t="s">
        <v>38</v>
      </c>
      <c r="G53" s="24" t="s">
        <v>39</v>
      </c>
    </row>
    <row r="54" spans="1:7" x14ac:dyDescent="0.3">
      <c r="A54" s="24">
        <v>53</v>
      </c>
      <c r="B54" s="26">
        <v>46199</v>
      </c>
      <c r="C54" s="24" t="s">
        <v>79</v>
      </c>
      <c r="D54" s="24" t="s">
        <v>83</v>
      </c>
      <c r="E54" s="24" t="s">
        <v>80</v>
      </c>
      <c r="F54" s="24" t="s">
        <v>42</v>
      </c>
      <c r="G54" s="24" t="s">
        <v>43</v>
      </c>
    </row>
    <row r="55" spans="1:7" x14ac:dyDescent="0.3">
      <c r="A55" s="24">
        <v>54</v>
      </c>
      <c r="B55" s="26">
        <v>46199</v>
      </c>
      <c r="C55" s="24" t="s">
        <v>79</v>
      </c>
      <c r="D55" s="24" t="s">
        <v>81</v>
      </c>
      <c r="E55" s="24" t="s">
        <v>82</v>
      </c>
      <c r="F55" s="24" t="s">
        <v>23</v>
      </c>
      <c r="G55" s="24" t="s">
        <v>24</v>
      </c>
    </row>
    <row r="56" spans="1:7" x14ac:dyDescent="0.3">
      <c r="A56" s="24">
        <v>55</v>
      </c>
      <c r="B56" s="26">
        <v>46189</v>
      </c>
      <c r="C56" s="24" t="s">
        <v>84</v>
      </c>
      <c r="D56" s="24" t="s">
        <v>85</v>
      </c>
      <c r="E56" s="24" t="s">
        <v>86</v>
      </c>
      <c r="F56" s="24" t="s">
        <v>60</v>
      </c>
      <c r="G56" s="24" t="s">
        <v>61</v>
      </c>
    </row>
    <row r="57" spans="1:7" x14ac:dyDescent="0.3">
      <c r="A57" s="24">
        <v>56</v>
      </c>
      <c r="B57" s="26">
        <v>46189</v>
      </c>
      <c r="C57" s="24" t="s">
        <v>84</v>
      </c>
      <c r="D57" s="24" t="s">
        <v>87</v>
      </c>
      <c r="E57" s="24" t="s">
        <v>88</v>
      </c>
      <c r="F57" s="24" t="s">
        <v>27</v>
      </c>
      <c r="G57" s="24" t="s">
        <v>28</v>
      </c>
    </row>
    <row r="58" spans="1:7" x14ac:dyDescent="0.3">
      <c r="A58" s="24">
        <v>57</v>
      </c>
      <c r="B58" s="26">
        <v>46195</v>
      </c>
      <c r="C58" s="24" t="s">
        <v>84</v>
      </c>
      <c r="D58" s="24" t="s">
        <v>85</v>
      </c>
      <c r="E58" s="24" t="s">
        <v>87</v>
      </c>
      <c r="F58" s="24" t="s">
        <v>65</v>
      </c>
      <c r="G58" s="24" t="s">
        <v>66</v>
      </c>
    </row>
    <row r="59" spans="1:7" x14ac:dyDescent="0.3">
      <c r="A59" s="24">
        <v>58</v>
      </c>
      <c r="B59" s="26">
        <v>46195</v>
      </c>
      <c r="C59" s="24" t="s">
        <v>84</v>
      </c>
      <c r="D59" s="24" t="s">
        <v>88</v>
      </c>
      <c r="E59" s="24" t="s">
        <v>86</v>
      </c>
      <c r="F59" s="24" t="s">
        <v>27</v>
      </c>
      <c r="G59" s="24" t="s">
        <v>28</v>
      </c>
    </row>
    <row r="60" spans="1:7" x14ac:dyDescent="0.3">
      <c r="A60" s="24">
        <v>59</v>
      </c>
      <c r="B60" s="26">
        <v>46200</v>
      </c>
      <c r="C60" s="24" t="s">
        <v>84</v>
      </c>
      <c r="D60" s="24" t="s">
        <v>88</v>
      </c>
      <c r="E60" s="24" t="s">
        <v>85</v>
      </c>
      <c r="F60" s="24" t="s">
        <v>65</v>
      </c>
      <c r="G60" s="24" t="s">
        <v>66</v>
      </c>
    </row>
    <row r="61" spans="1:7" x14ac:dyDescent="0.3">
      <c r="A61" s="24">
        <v>60</v>
      </c>
      <c r="B61" s="26">
        <v>46200</v>
      </c>
      <c r="C61" s="24" t="s">
        <v>84</v>
      </c>
      <c r="D61" s="24" t="s">
        <v>86</v>
      </c>
      <c r="E61" s="24" t="s">
        <v>87</v>
      </c>
      <c r="F61" s="24" t="s">
        <v>60</v>
      </c>
      <c r="G61" s="24" t="s">
        <v>61</v>
      </c>
    </row>
    <row r="62" spans="1:7" x14ac:dyDescent="0.3">
      <c r="A62" s="24">
        <v>61</v>
      </c>
      <c r="B62" s="26">
        <v>46190</v>
      </c>
      <c r="C62" s="24" t="s">
        <v>89</v>
      </c>
      <c r="D62" s="24" t="s">
        <v>90</v>
      </c>
      <c r="E62" s="24" t="s">
        <v>91</v>
      </c>
      <c r="F62" s="24" t="s">
        <v>56</v>
      </c>
      <c r="G62" s="24" t="s">
        <v>57</v>
      </c>
    </row>
    <row r="63" spans="1:7" x14ac:dyDescent="0.3">
      <c r="A63" s="24">
        <v>62</v>
      </c>
      <c r="B63" s="26">
        <v>46190</v>
      </c>
      <c r="C63" s="24" t="s">
        <v>89</v>
      </c>
      <c r="D63" s="24" t="s">
        <v>92</v>
      </c>
      <c r="E63" s="24" t="s">
        <v>93</v>
      </c>
      <c r="F63" s="24" t="s">
        <v>10</v>
      </c>
      <c r="G63" s="24" t="s">
        <v>11</v>
      </c>
    </row>
    <row r="64" spans="1:7" x14ac:dyDescent="0.3">
      <c r="A64" s="24">
        <v>63</v>
      </c>
      <c r="B64" s="26">
        <v>46196</v>
      </c>
      <c r="C64" s="24" t="s">
        <v>89</v>
      </c>
      <c r="D64" s="24" t="s">
        <v>90</v>
      </c>
      <c r="E64" s="24" t="s">
        <v>92</v>
      </c>
      <c r="F64" s="24" t="s">
        <v>56</v>
      </c>
      <c r="G64" s="24" t="s">
        <v>57</v>
      </c>
    </row>
    <row r="65" spans="1:7" x14ac:dyDescent="0.3">
      <c r="A65" s="24">
        <v>64</v>
      </c>
      <c r="B65" s="26">
        <v>46196</v>
      </c>
      <c r="C65" s="24" t="s">
        <v>89</v>
      </c>
      <c r="D65" s="24" t="s">
        <v>93</v>
      </c>
      <c r="E65" s="24" t="s">
        <v>91</v>
      </c>
      <c r="F65" s="24" t="s">
        <v>14</v>
      </c>
      <c r="G65" s="24" t="s">
        <v>15</v>
      </c>
    </row>
    <row r="66" spans="1:7" x14ac:dyDescent="0.3">
      <c r="A66" s="24">
        <v>65</v>
      </c>
      <c r="B66" s="26">
        <v>46200</v>
      </c>
      <c r="C66" s="24" t="s">
        <v>89</v>
      </c>
      <c r="D66" s="24" t="s">
        <v>93</v>
      </c>
      <c r="E66" s="24" t="s">
        <v>90</v>
      </c>
      <c r="F66" s="24" t="s">
        <v>46</v>
      </c>
      <c r="G66" s="24" t="s">
        <v>47</v>
      </c>
    </row>
    <row r="67" spans="1:7" x14ac:dyDescent="0.3">
      <c r="A67" s="24">
        <v>66</v>
      </c>
      <c r="B67" s="26">
        <v>46200</v>
      </c>
      <c r="C67" s="24" t="s">
        <v>89</v>
      </c>
      <c r="D67" s="24" t="s">
        <v>91</v>
      </c>
      <c r="E67" s="24" t="s">
        <v>92</v>
      </c>
      <c r="F67" s="24" t="s">
        <v>16</v>
      </c>
      <c r="G67" s="24" t="s">
        <v>17</v>
      </c>
    </row>
    <row r="68" spans="1:7" x14ac:dyDescent="0.3">
      <c r="A68" s="24">
        <v>67</v>
      </c>
      <c r="B68" s="26">
        <v>46190</v>
      </c>
      <c r="C68" s="24" t="s">
        <v>94</v>
      </c>
      <c r="D68" s="24" t="s">
        <v>95</v>
      </c>
      <c r="E68" s="24" t="s">
        <v>96</v>
      </c>
      <c r="F68" s="24" t="s">
        <v>65</v>
      </c>
      <c r="G68" s="24" t="s">
        <v>66</v>
      </c>
    </row>
    <row r="69" spans="1:7" x14ac:dyDescent="0.3">
      <c r="A69" s="24">
        <v>68</v>
      </c>
      <c r="B69" s="26">
        <v>46190</v>
      </c>
      <c r="C69" s="24" t="s">
        <v>94</v>
      </c>
      <c r="D69" s="24" t="s">
        <v>97</v>
      </c>
      <c r="E69" s="24" t="s">
        <v>98</v>
      </c>
      <c r="F69" s="24" t="s">
        <v>23</v>
      </c>
      <c r="G69" s="24" t="s">
        <v>24</v>
      </c>
    </row>
    <row r="70" spans="1:7" x14ac:dyDescent="0.3">
      <c r="A70" s="24">
        <v>69</v>
      </c>
      <c r="B70" s="26">
        <v>46196</v>
      </c>
      <c r="C70" s="24" t="s">
        <v>94</v>
      </c>
      <c r="D70" s="24" t="s">
        <v>95</v>
      </c>
      <c r="E70" s="24" t="s">
        <v>97</v>
      </c>
      <c r="F70" s="24" t="s">
        <v>42</v>
      </c>
      <c r="G70" s="24" t="s">
        <v>43</v>
      </c>
    </row>
    <row r="71" spans="1:7" x14ac:dyDescent="0.3">
      <c r="A71" s="24">
        <v>70</v>
      </c>
      <c r="B71" s="26">
        <v>46196</v>
      </c>
      <c r="C71" s="24" t="s">
        <v>94</v>
      </c>
      <c r="D71" s="24" t="s">
        <v>98</v>
      </c>
      <c r="E71" s="24" t="s">
        <v>96</v>
      </c>
      <c r="F71" s="24" t="s">
        <v>23</v>
      </c>
      <c r="G71" s="24" t="s">
        <v>24</v>
      </c>
    </row>
    <row r="72" spans="1:7" x14ac:dyDescent="0.3">
      <c r="A72" s="24">
        <v>71</v>
      </c>
      <c r="B72" s="26">
        <v>46200</v>
      </c>
      <c r="C72" s="24" t="s">
        <v>94</v>
      </c>
      <c r="D72" s="24" t="s">
        <v>98</v>
      </c>
      <c r="E72" s="24" t="s">
        <v>95</v>
      </c>
      <c r="F72" s="24" t="s">
        <v>38</v>
      </c>
      <c r="G72" s="24" t="s">
        <v>39</v>
      </c>
    </row>
    <row r="73" spans="1:7" x14ac:dyDescent="0.3">
      <c r="A73" s="24">
        <v>72</v>
      </c>
      <c r="B73" s="26">
        <v>46200</v>
      </c>
      <c r="C73" s="24" t="s">
        <v>94</v>
      </c>
      <c r="D73" s="24" t="s">
        <v>96</v>
      </c>
      <c r="E73" s="24" t="s">
        <v>97</v>
      </c>
      <c r="F73" s="24" t="s">
        <v>44</v>
      </c>
      <c r="G73" s="24" t="s">
        <v>45</v>
      </c>
    </row>
  </sheetData>
  <sortState xmlns:xlrd2="http://schemas.microsoft.com/office/spreadsheetml/2017/richdata2" ref="A2:G73">
    <sortCondition ref="A2:A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8262-1395-4613-8000-8E57E1A035AD}">
  <dimension ref="A1:I17"/>
  <sheetViews>
    <sheetView topLeftCell="B1" workbookViewId="0">
      <selection activeCell="G5" sqref="G5"/>
    </sheetView>
  </sheetViews>
  <sheetFormatPr defaultColWidth="8.796875" defaultRowHeight="15.6" x14ac:dyDescent="0.3"/>
  <cols>
    <col min="1" max="1" width="16.69921875" customWidth="1"/>
    <col min="2" max="2" width="34.5" customWidth="1"/>
    <col min="3" max="3" width="58.69921875" customWidth="1"/>
    <col min="4" max="4" width="19.296875" customWidth="1"/>
    <col min="7" max="7" width="18.296875" customWidth="1"/>
    <col min="8" max="8" width="19.69921875" customWidth="1"/>
    <col min="9" max="9" width="17" customWidth="1"/>
  </cols>
  <sheetData>
    <row r="1" spans="1:9" s="10" customFormat="1" ht="36" customHeight="1" x14ac:dyDescent="0.3">
      <c r="A1" s="23" t="s">
        <v>99</v>
      </c>
      <c r="B1" s="23" t="s">
        <v>100</v>
      </c>
      <c r="C1" s="23" t="s">
        <v>101</v>
      </c>
      <c r="D1" s="23" t="s">
        <v>6</v>
      </c>
      <c r="E1" s="23" t="s">
        <v>102</v>
      </c>
      <c r="F1" s="23" t="s">
        <v>103</v>
      </c>
      <c r="G1" s="11" t="s">
        <v>104</v>
      </c>
      <c r="H1" s="11" t="s">
        <v>105</v>
      </c>
      <c r="I1" s="11" t="s">
        <v>106</v>
      </c>
    </row>
    <row r="2" spans="1:9" x14ac:dyDescent="0.3">
      <c r="A2" s="24" t="s">
        <v>107</v>
      </c>
      <c r="B2" s="24" t="s">
        <v>38</v>
      </c>
      <c r="C2" s="24" t="s">
        <v>108</v>
      </c>
      <c r="D2" s="24" t="s">
        <v>39</v>
      </c>
      <c r="E2" s="24" t="s">
        <v>109</v>
      </c>
      <c r="F2" s="24">
        <v>78576</v>
      </c>
      <c r="G2" s="25">
        <f>F2*(91/100)*(12/100)</f>
        <v>8580.4992000000002</v>
      </c>
      <c r="H2" s="24">
        <v>72</v>
      </c>
      <c r="I2" s="24">
        <f>4.5/$H$2</f>
        <v>6.25E-2</v>
      </c>
    </row>
    <row r="3" spans="1:9" ht="27.6" x14ac:dyDescent="0.3">
      <c r="A3" s="24" t="s">
        <v>110</v>
      </c>
      <c r="B3" s="24" t="s">
        <v>10</v>
      </c>
      <c r="C3" s="24" t="s">
        <v>111</v>
      </c>
      <c r="D3" s="24" t="s">
        <v>11</v>
      </c>
      <c r="E3" s="24" t="s">
        <v>8</v>
      </c>
      <c r="F3" s="24">
        <v>72766</v>
      </c>
      <c r="G3" s="25">
        <f t="shared" ref="G3:G17" si="0">F3*(91/100)*(12/100)</f>
        <v>7946.0471999999991</v>
      </c>
      <c r="H3" s="24"/>
      <c r="I3" s="24">
        <f>4.5/$H$2</f>
        <v>6.25E-2</v>
      </c>
    </row>
    <row r="4" spans="1:9" x14ac:dyDescent="0.3">
      <c r="A4" s="24" t="s">
        <v>112</v>
      </c>
      <c r="B4" s="24" t="s">
        <v>65</v>
      </c>
      <c r="C4" s="24" t="s">
        <v>113</v>
      </c>
      <c r="D4" s="24" t="s">
        <v>66</v>
      </c>
      <c r="E4" s="24" t="s">
        <v>109</v>
      </c>
      <c r="F4" s="24">
        <v>70122</v>
      </c>
      <c r="G4" s="25">
        <f t="shared" si="0"/>
        <v>7657.3224</v>
      </c>
      <c r="H4" s="24"/>
      <c r="I4" s="24">
        <f t="shared" ref="I4:I17" si="1">4.5/$H$2</f>
        <v>6.25E-2</v>
      </c>
    </row>
    <row r="5" spans="1:9" x14ac:dyDescent="0.3">
      <c r="A5" s="24" t="s">
        <v>114</v>
      </c>
      <c r="B5" s="24" t="s">
        <v>29</v>
      </c>
      <c r="C5" s="24" t="s">
        <v>115</v>
      </c>
      <c r="D5" s="24" t="s">
        <v>30</v>
      </c>
      <c r="E5" s="24" t="s">
        <v>109</v>
      </c>
      <c r="F5" s="24">
        <v>69650</v>
      </c>
      <c r="G5" s="25">
        <f t="shared" si="0"/>
        <v>7605.78</v>
      </c>
      <c r="H5" s="24"/>
      <c r="I5" s="24">
        <f t="shared" si="1"/>
        <v>6.25E-2</v>
      </c>
    </row>
    <row r="6" spans="1:9" x14ac:dyDescent="0.3">
      <c r="A6" s="24" t="s">
        <v>116</v>
      </c>
      <c r="B6" s="24" t="s">
        <v>27</v>
      </c>
      <c r="C6" s="24" t="s">
        <v>117</v>
      </c>
      <c r="D6" s="24" t="s">
        <v>28</v>
      </c>
      <c r="E6" s="24" t="s">
        <v>109</v>
      </c>
      <c r="F6" s="24">
        <v>69391</v>
      </c>
      <c r="G6" s="25">
        <f t="shared" si="0"/>
        <v>7577.4972000000007</v>
      </c>
      <c r="H6" s="24"/>
      <c r="I6" s="24">
        <f t="shared" si="1"/>
        <v>6.25E-2</v>
      </c>
    </row>
    <row r="7" spans="1:9" x14ac:dyDescent="0.3">
      <c r="A7" s="24" t="s">
        <v>118</v>
      </c>
      <c r="B7" s="24" t="s">
        <v>56</v>
      </c>
      <c r="C7" s="24" t="s">
        <v>119</v>
      </c>
      <c r="D7" s="24" t="s">
        <v>57</v>
      </c>
      <c r="E7" s="24" t="s">
        <v>109</v>
      </c>
      <c r="F7" s="24">
        <v>68311</v>
      </c>
      <c r="G7" s="25">
        <f t="shared" si="0"/>
        <v>7459.5612000000001</v>
      </c>
      <c r="H7" s="24"/>
      <c r="I7" s="24">
        <f t="shared" si="1"/>
        <v>6.25E-2</v>
      </c>
    </row>
    <row r="8" spans="1:9" ht="27.6" x14ac:dyDescent="0.3">
      <c r="A8" s="24" t="s">
        <v>120</v>
      </c>
      <c r="B8" s="24" t="s">
        <v>60</v>
      </c>
      <c r="C8" s="24" t="s">
        <v>121</v>
      </c>
      <c r="D8" s="24" t="s">
        <v>61</v>
      </c>
      <c r="E8" s="24" t="s">
        <v>109</v>
      </c>
      <c r="F8" s="24">
        <v>67513</v>
      </c>
      <c r="G8" s="25">
        <f t="shared" si="0"/>
        <v>7372.4196000000002</v>
      </c>
      <c r="H8" s="24"/>
      <c r="I8" s="24">
        <f>4.5/$H$2</f>
        <v>6.25E-2</v>
      </c>
    </row>
    <row r="9" spans="1:9" ht="27.6" x14ac:dyDescent="0.3">
      <c r="A9" s="24" t="s">
        <v>122</v>
      </c>
      <c r="B9" s="24" t="s">
        <v>16</v>
      </c>
      <c r="C9" s="24" t="s">
        <v>123</v>
      </c>
      <c r="D9" s="24" t="s">
        <v>17</v>
      </c>
      <c r="E9" s="24" t="s">
        <v>109</v>
      </c>
      <c r="F9" s="24">
        <v>67382</v>
      </c>
      <c r="G9" s="25">
        <f t="shared" si="0"/>
        <v>7358.1144000000004</v>
      </c>
      <c r="H9" s="24"/>
      <c r="I9" s="24">
        <f t="shared" si="1"/>
        <v>6.25E-2</v>
      </c>
    </row>
    <row r="10" spans="1:9" ht="27.6" x14ac:dyDescent="0.3">
      <c r="A10" s="24" t="s">
        <v>124</v>
      </c>
      <c r="B10" s="24" t="s">
        <v>44</v>
      </c>
      <c r="C10" s="24" t="s">
        <v>125</v>
      </c>
      <c r="D10" s="24" t="s">
        <v>45</v>
      </c>
      <c r="E10" s="24" t="s">
        <v>109</v>
      </c>
      <c r="F10" s="24">
        <v>65827</v>
      </c>
      <c r="G10" s="25">
        <f t="shared" si="0"/>
        <v>7188.3083999999999</v>
      </c>
      <c r="H10" s="24"/>
      <c r="I10" s="24">
        <f t="shared" si="1"/>
        <v>6.25E-2</v>
      </c>
    </row>
    <row r="11" spans="1:9" x14ac:dyDescent="0.3">
      <c r="A11" s="24" t="s">
        <v>126</v>
      </c>
      <c r="B11" s="24" t="s">
        <v>33</v>
      </c>
      <c r="C11" s="24" t="s">
        <v>127</v>
      </c>
      <c r="D11" s="24" t="s">
        <v>34</v>
      </c>
      <c r="E11" s="24" t="s">
        <v>109</v>
      </c>
      <c r="F11" s="24">
        <v>65123</v>
      </c>
      <c r="G11" s="25">
        <f t="shared" si="0"/>
        <v>7111.4315999999999</v>
      </c>
      <c r="H11" s="24"/>
      <c r="I11" s="24">
        <f t="shared" si="1"/>
        <v>6.25E-2</v>
      </c>
    </row>
    <row r="12" spans="1:9" x14ac:dyDescent="0.3">
      <c r="A12" s="24" t="s">
        <v>128</v>
      </c>
      <c r="B12" s="24" t="s">
        <v>46</v>
      </c>
      <c r="C12" s="24" t="s">
        <v>129</v>
      </c>
      <c r="D12" s="24" t="s">
        <v>130</v>
      </c>
      <c r="E12" s="24" t="s">
        <v>109</v>
      </c>
      <c r="F12" s="24">
        <v>64091</v>
      </c>
      <c r="G12" s="25">
        <f t="shared" si="0"/>
        <v>6998.7372000000005</v>
      </c>
      <c r="H12" s="24"/>
      <c r="I12" s="24">
        <f t="shared" si="1"/>
        <v>6.25E-2</v>
      </c>
    </row>
    <row r="13" spans="1:9" x14ac:dyDescent="0.3">
      <c r="A13" s="24" t="s">
        <v>131</v>
      </c>
      <c r="B13" s="24" t="s">
        <v>42</v>
      </c>
      <c r="C13" s="24" t="s">
        <v>132</v>
      </c>
      <c r="D13" s="24" t="s">
        <v>43</v>
      </c>
      <c r="E13" s="24" t="s">
        <v>109</v>
      </c>
      <c r="F13" s="24">
        <v>63815</v>
      </c>
      <c r="G13" s="25">
        <f t="shared" si="0"/>
        <v>6968.598</v>
      </c>
      <c r="H13" s="24"/>
      <c r="I13" s="24">
        <f t="shared" si="1"/>
        <v>6.25E-2</v>
      </c>
    </row>
    <row r="14" spans="1:9" ht="27.6" x14ac:dyDescent="0.3">
      <c r="A14" s="24" t="s">
        <v>133</v>
      </c>
      <c r="B14" s="24" t="s">
        <v>18</v>
      </c>
      <c r="C14" s="24" t="s">
        <v>134</v>
      </c>
      <c r="D14" s="24" t="s">
        <v>135</v>
      </c>
      <c r="E14" s="24" t="s">
        <v>8</v>
      </c>
      <c r="F14" s="24">
        <v>50113</v>
      </c>
      <c r="G14" s="25">
        <f t="shared" si="0"/>
        <v>5472.3396000000002</v>
      </c>
      <c r="H14" s="24"/>
      <c r="I14" s="24">
        <f t="shared" si="1"/>
        <v>6.25E-2</v>
      </c>
    </row>
    <row r="15" spans="1:9" x14ac:dyDescent="0.3">
      <c r="A15" s="24" t="s">
        <v>136</v>
      </c>
      <c r="B15" s="24" t="s">
        <v>31</v>
      </c>
      <c r="C15" s="24" t="s">
        <v>137</v>
      </c>
      <c r="D15" s="24" t="s">
        <v>32</v>
      </c>
      <c r="E15" s="24" t="s">
        <v>21</v>
      </c>
      <c r="F15" s="24">
        <v>48821</v>
      </c>
      <c r="G15" s="25">
        <f t="shared" si="0"/>
        <v>5331.2532000000001</v>
      </c>
      <c r="H15" s="24"/>
      <c r="I15" s="24">
        <f t="shared" si="1"/>
        <v>6.25E-2</v>
      </c>
    </row>
    <row r="16" spans="1:9" x14ac:dyDescent="0.3">
      <c r="A16" s="24" t="s">
        <v>138</v>
      </c>
      <c r="B16" s="24" t="s">
        <v>14</v>
      </c>
      <c r="C16" s="24" t="s">
        <v>139</v>
      </c>
      <c r="D16" s="24" t="s">
        <v>140</v>
      </c>
      <c r="E16" s="24" t="s">
        <v>8</v>
      </c>
      <c r="F16" s="24">
        <v>44330</v>
      </c>
      <c r="G16" s="25">
        <f t="shared" si="0"/>
        <v>4840.8360000000002</v>
      </c>
      <c r="H16" s="24"/>
      <c r="I16" s="24">
        <f t="shared" si="1"/>
        <v>6.25E-2</v>
      </c>
    </row>
    <row r="17" spans="1:9" x14ac:dyDescent="0.3">
      <c r="A17" s="24" t="s">
        <v>141</v>
      </c>
      <c r="B17" s="24" t="s">
        <v>23</v>
      </c>
      <c r="C17" s="24" t="s">
        <v>142</v>
      </c>
      <c r="D17" s="24" t="s">
        <v>24</v>
      </c>
      <c r="E17" s="24" t="s">
        <v>21</v>
      </c>
      <c r="F17" s="24">
        <v>44315</v>
      </c>
      <c r="G17" s="25">
        <f t="shared" si="0"/>
        <v>4839.1980000000003</v>
      </c>
      <c r="H17" s="24"/>
      <c r="I17" s="24">
        <f t="shared" si="1"/>
        <v>6.25E-2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zoomScaleNormal="108" workbookViewId="0">
      <selection activeCell="A37" sqref="A37"/>
    </sheetView>
  </sheetViews>
  <sheetFormatPr defaultColWidth="11" defaultRowHeight="15.75" customHeight="1" x14ac:dyDescent="0.3"/>
  <cols>
    <col min="1" max="1" width="17" style="8" bestFit="1" customWidth="1"/>
    <col min="2" max="2" width="14" style="2" customWidth="1"/>
    <col min="3" max="4" width="26.69921875" style="5" bestFit="1" customWidth="1"/>
    <col min="5" max="5" width="54.19921875" style="5" bestFit="1" customWidth="1"/>
    <col min="6" max="6" width="11" style="5" customWidth="1"/>
    <col min="7" max="7" width="39.296875" style="5" bestFit="1" customWidth="1"/>
    <col min="8" max="16384" width="11" style="5"/>
  </cols>
  <sheetData>
    <row r="1" spans="1:7" ht="19.05" customHeight="1" x14ac:dyDescent="0.3">
      <c r="A1" s="29" t="s">
        <v>143</v>
      </c>
      <c r="B1" s="3" t="s">
        <v>144</v>
      </c>
      <c r="C1" s="29" t="s">
        <v>145</v>
      </c>
      <c r="D1" s="30"/>
      <c r="E1" s="4"/>
      <c r="G1" s="6"/>
    </row>
    <row r="2" spans="1:7" ht="19.05" customHeight="1" x14ac:dyDescent="0.3">
      <c r="A2" s="31" t="s">
        <v>75</v>
      </c>
      <c r="B2" s="7" t="s">
        <v>146</v>
      </c>
      <c r="C2" s="35">
        <v>1877.18</v>
      </c>
      <c r="D2" s="32"/>
    </row>
    <row r="3" spans="1:7" ht="16.95" customHeight="1" x14ac:dyDescent="0.3">
      <c r="A3" s="31" t="s">
        <v>85</v>
      </c>
      <c r="B3" s="7" t="s">
        <v>147</v>
      </c>
      <c r="C3" s="35">
        <v>1873.33</v>
      </c>
      <c r="D3" s="32"/>
      <c r="G3" s="6"/>
    </row>
    <row r="4" spans="1:7" ht="16.95" customHeight="1" x14ac:dyDescent="0.3">
      <c r="A4" s="31" t="s">
        <v>80</v>
      </c>
      <c r="B4" s="7" t="s">
        <v>146</v>
      </c>
      <c r="C4" s="35">
        <v>1870</v>
      </c>
      <c r="D4" s="32"/>
      <c r="G4" s="6"/>
    </row>
    <row r="5" spans="1:7" ht="16.95" customHeight="1" x14ac:dyDescent="0.3">
      <c r="A5" s="31" t="s">
        <v>95</v>
      </c>
      <c r="B5" s="7" t="s">
        <v>146</v>
      </c>
      <c r="C5" s="35">
        <v>1834.12</v>
      </c>
      <c r="D5" s="32"/>
      <c r="G5" s="6"/>
    </row>
    <row r="6" spans="1:7" ht="16.95" customHeight="1" x14ac:dyDescent="0.3">
      <c r="A6" s="31" t="s">
        <v>36</v>
      </c>
      <c r="B6" s="7" t="s">
        <v>147</v>
      </c>
      <c r="C6" s="35">
        <v>1760.46</v>
      </c>
      <c r="D6" s="32"/>
      <c r="G6" s="6"/>
    </row>
    <row r="7" spans="1:7" ht="16.95" customHeight="1" x14ac:dyDescent="0.3">
      <c r="A7" s="31" t="s">
        <v>90</v>
      </c>
      <c r="B7" s="7" t="s">
        <v>146</v>
      </c>
      <c r="C7" s="35">
        <v>1760.38</v>
      </c>
      <c r="D7" s="32"/>
      <c r="G7" s="6"/>
    </row>
    <row r="8" spans="1:7" ht="16.95" customHeight="1" x14ac:dyDescent="0.3">
      <c r="A8" s="31" t="s">
        <v>63</v>
      </c>
      <c r="B8" s="7" t="s">
        <v>146</v>
      </c>
      <c r="C8" s="35">
        <v>1756.27</v>
      </c>
      <c r="D8" s="32"/>
      <c r="G8" s="6"/>
    </row>
    <row r="9" spans="1:7" ht="15.6" x14ac:dyDescent="0.3">
      <c r="A9" s="31" t="s">
        <v>37</v>
      </c>
      <c r="B9" s="7" t="s">
        <v>148</v>
      </c>
      <c r="C9" s="35">
        <v>1736.56</v>
      </c>
      <c r="D9" s="32"/>
    </row>
    <row r="10" spans="1:7" ht="16.95" customHeight="1" x14ac:dyDescent="0.3">
      <c r="A10" s="31" t="s">
        <v>70</v>
      </c>
      <c r="B10" s="7" t="s">
        <v>146</v>
      </c>
      <c r="C10" s="35">
        <v>1730.71</v>
      </c>
      <c r="D10" s="32"/>
      <c r="G10" s="6"/>
    </row>
    <row r="11" spans="1:7" ht="16.95" customHeight="1" x14ac:dyDescent="0.3">
      <c r="A11" s="31" t="s">
        <v>54</v>
      </c>
      <c r="B11" s="7" t="s">
        <v>146</v>
      </c>
      <c r="C11" s="35">
        <v>1724.15</v>
      </c>
      <c r="D11" s="32"/>
      <c r="G11" s="6"/>
    </row>
    <row r="12" spans="1:7" ht="16.95" customHeight="1" x14ac:dyDescent="0.3">
      <c r="A12" s="31" t="s">
        <v>96</v>
      </c>
      <c r="B12" s="7" t="s">
        <v>146</v>
      </c>
      <c r="C12" s="35">
        <v>1716.88</v>
      </c>
      <c r="D12" s="32"/>
      <c r="G12" s="6"/>
    </row>
    <row r="13" spans="1:7" ht="16.95" customHeight="1" x14ac:dyDescent="0.3">
      <c r="A13" s="31" t="s">
        <v>81</v>
      </c>
      <c r="B13" s="7" t="s">
        <v>148</v>
      </c>
      <c r="C13" s="35">
        <v>1706.83</v>
      </c>
      <c r="D13" s="32"/>
      <c r="G13" s="6"/>
    </row>
    <row r="14" spans="1:7" ht="16.95" customHeight="1" x14ac:dyDescent="0.3">
      <c r="A14" s="31" t="s">
        <v>22</v>
      </c>
      <c r="B14" s="7" t="s">
        <v>146</v>
      </c>
      <c r="C14" s="35">
        <v>1702.06</v>
      </c>
      <c r="D14" s="32"/>
      <c r="G14" s="6"/>
    </row>
    <row r="15" spans="1:7" ht="16.95" customHeight="1" x14ac:dyDescent="0.3">
      <c r="A15" s="31" t="s">
        <v>93</v>
      </c>
      <c r="B15" s="7" t="s">
        <v>147</v>
      </c>
      <c r="C15" s="35">
        <v>1701.3</v>
      </c>
      <c r="D15" s="32"/>
      <c r="G15" s="6"/>
    </row>
    <row r="16" spans="1:7" ht="15.6" x14ac:dyDescent="0.3">
      <c r="A16" s="31" t="s">
        <v>149</v>
      </c>
      <c r="B16" s="7" t="s">
        <v>150</v>
      </c>
      <c r="C16" s="35">
        <v>1681.88</v>
      </c>
      <c r="D16" s="32"/>
    </row>
    <row r="17" spans="1:7" ht="16.95" customHeight="1" x14ac:dyDescent="0.3">
      <c r="A17" s="31" t="s">
        <v>8</v>
      </c>
      <c r="B17" s="7" t="s">
        <v>150</v>
      </c>
      <c r="C17" s="35">
        <v>1675.75</v>
      </c>
      <c r="D17" s="32"/>
      <c r="G17" s="6"/>
    </row>
    <row r="18" spans="1:7" ht="16.95" customHeight="1" x14ac:dyDescent="0.3">
      <c r="A18" s="31" t="s">
        <v>78</v>
      </c>
      <c r="B18" s="7" t="s">
        <v>147</v>
      </c>
      <c r="C18" s="35">
        <v>1672.62</v>
      </c>
      <c r="D18" s="32"/>
      <c r="G18" s="6"/>
    </row>
    <row r="19" spans="1:7" ht="16.95" customHeight="1" x14ac:dyDescent="0.3">
      <c r="A19" s="31" t="s">
        <v>26</v>
      </c>
      <c r="B19" s="7" t="s">
        <v>146</v>
      </c>
      <c r="C19" s="35">
        <v>1654.69</v>
      </c>
      <c r="D19" s="32"/>
      <c r="G19" s="6"/>
    </row>
    <row r="20" spans="1:7" ht="16.95" customHeight="1" x14ac:dyDescent="0.3">
      <c r="A20" s="31" t="s">
        <v>64</v>
      </c>
      <c r="B20" s="7" t="s">
        <v>151</v>
      </c>
      <c r="C20" s="35">
        <v>1650.12</v>
      </c>
      <c r="D20" s="32"/>
      <c r="G20" s="6"/>
    </row>
    <row r="21" spans="1:7" ht="16.95" customHeight="1" x14ac:dyDescent="0.3">
      <c r="A21" s="31" t="s">
        <v>152</v>
      </c>
      <c r="B21" s="7" t="s">
        <v>151</v>
      </c>
      <c r="C21" s="35">
        <v>1617.02</v>
      </c>
      <c r="D21" s="32"/>
      <c r="G21" s="6"/>
    </row>
    <row r="22" spans="1:7" ht="16.95" customHeight="1" x14ac:dyDescent="0.3">
      <c r="A22" s="31" t="s">
        <v>13</v>
      </c>
      <c r="B22" s="7" t="s">
        <v>153</v>
      </c>
      <c r="C22" s="35">
        <v>1616.75</v>
      </c>
      <c r="D22" s="32"/>
      <c r="G22" s="6"/>
    </row>
    <row r="23" spans="1:7" ht="15.6" x14ac:dyDescent="0.3">
      <c r="A23" s="31" t="s">
        <v>12</v>
      </c>
      <c r="B23" s="7" t="s">
        <v>151</v>
      </c>
      <c r="C23" s="35">
        <v>1599.45</v>
      </c>
      <c r="D23" s="32"/>
    </row>
    <row r="24" spans="1:7" ht="16.95" customHeight="1" x14ac:dyDescent="0.3">
      <c r="A24" s="31" t="s">
        <v>59</v>
      </c>
      <c r="B24" s="7" t="s">
        <v>147</v>
      </c>
      <c r="C24" s="35">
        <v>1591.73</v>
      </c>
      <c r="D24" s="32"/>
      <c r="G24" s="6"/>
    </row>
    <row r="25" spans="1:7" ht="16.95" customHeight="1" x14ac:dyDescent="0.3">
      <c r="A25" s="31" t="s">
        <v>87</v>
      </c>
      <c r="B25" s="7" t="s">
        <v>146</v>
      </c>
      <c r="C25" s="35">
        <v>1585.51</v>
      </c>
      <c r="D25" s="32"/>
      <c r="G25" s="6"/>
    </row>
    <row r="26" spans="1:7" ht="16.95" customHeight="1" x14ac:dyDescent="0.3">
      <c r="A26" s="31" t="s">
        <v>154</v>
      </c>
      <c r="B26" s="7" t="s">
        <v>153</v>
      </c>
      <c r="C26" s="35">
        <v>1582.69</v>
      </c>
      <c r="D26" s="32"/>
      <c r="G26" s="6"/>
    </row>
    <row r="27" spans="1:7" ht="16.95" customHeight="1" x14ac:dyDescent="0.3">
      <c r="A27" s="31" t="s">
        <v>51</v>
      </c>
      <c r="B27" s="7" t="s">
        <v>151</v>
      </c>
      <c r="C27" s="35">
        <v>1574.01</v>
      </c>
      <c r="D27" s="32"/>
      <c r="G27" s="6"/>
    </row>
    <row r="28" spans="1:7" ht="16.95" customHeight="1" x14ac:dyDescent="0.3">
      <c r="A28" s="31" t="s">
        <v>86</v>
      </c>
      <c r="B28" s="7" t="s">
        <v>148</v>
      </c>
      <c r="C28" s="35">
        <v>1560.91</v>
      </c>
      <c r="D28" s="32"/>
      <c r="G28" s="6"/>
    </row>
    <row r="29" spans="1:7" ht="16.95" customHeight="1" x14ac:dyDescent="0.3">
      <c r="A29" s="31" t="s">
        <v>21</v>
      </c>
      <c r="B29" s="7" t="s">
        <v>150</v>
      </c>
      <c r="C29" s="35">
        <v>1559.15</v>
      </c>
      <c r="D29" s="32"/>
      <c r="G29" s="6"/>
    </row>
    <row r="30" spans="1:7" ht="15.6" x14ac:dyDescent="0.3">
      <c r="A30" s="31" t="s">
        <v>67</v>
      </c>
      <c r="B30" s="7" t="s">
        <v>146</v>
      </c>
      <c r="C30" s="35">
        <v>1557.47</v>
      </c>
      <c r="D30" s="32"/>
    </row>
    <row r="31" spans="1:7" ht="16.95" customHeight="1" x14ac:dyDescent="0.3">
      <c r="A31" s="31" t="s">
        <v>71</v>
      </c>
      <c r="B31" s="7" t="s">
        <v>148</v>
      </c>
      <c r="C31" s="35">
        <v>1556.71</v>
      </c>
      <c r="D31" s="32"/>
      <c r="G31" s="6"/>
    </row>
    <row r="32" spans="1:7" ht="16.95" customHeight="1" x14ac:dyDescent="0.3">
      <c r="A32" s="31" t="s">
        <v>83</v>
      </c>
      <c r="B32" s="7" t="s">
        <v>146</v>
      </c>
      <c r="C32" s="35">
        <v>1553.14</v>
      </c>
      <c r="D32" s="32"/>
      <c r="G32" s="6"/>
    </row>
    <row r="33" spans="1:7" ht="16.95" customHeight="1" x14ac:dyDescent="0.3">
      <c r="A33" s="31" t="s">
        <v>98</v>
      </c>
      <c r="B33" s="7" t="s">
        <v>150</v>
      </c>
      <c r="C33" s="35">
        <v>1539.47</v>
      </c>
      <c r="D33" s="32"/>
      <c r="G33" s="6"/>
    </row>
    <row r="34" spans="1:7" ht="16.95" customHeight="1" x14ac:dyDescent="0.3">
      <c r="A34" s="31" t="s">
        <v>58</v>
      </c>
      <c r="B34" s="7" t="s">
        <v>148</v>
      </c>
      <c r="C34" s="35">
        <v>1522.49</v>
      </c>
      <c r="D34" s="32"/>
      <c r="G34" s="6"/>
    </row>
    <row r="35" spans="1:7" ht="16.95" customHeight="1" x14ac:dyDescent="0.3">
      <c r="A35" s="31" t="s">
        <v>41</v>
      </c>
      <c r="B35" s="7" t="s">
        <v>146</v>
      </c>
      <c r="C35" s="35">
        <v>1506.77</v>
      </c>
      <c r="D35" s="32"/>
      <c r="G35" s="6"/>
    </row>
    <row r="36" spans="1:7" ht="16.95" customHeight="1" x14ac:dyDescent="0.3">
      <c r="A36" s="31" t="s">
        <v>50</v>
      </c>
      <c r="B36" s="7" t="s">
        <v>147</v>
      </c>
      <c r="C36" s="35">
        <v>1501.5</v>
      </c>
      <c r="D36" s="32"/>
      <c r="G36" s="6"/>
    </row>
    <row r="37" spans="1:7" ht="15.6" x14ac:dyDescent="0.3">
      <c r="A37" s="31" t="s">
        <v>68</v>
      </c>
      <c r="B37" s="7" t="s">
        <v>148</v>
      </c>
      <c r="C37" s="35">
        <v>1479.04</v>
      </c>
      <c r="D37" s="32"/>
    </row>
    <row r="38" spans="1:7" ht="16.95" customHeight="1" x14ac:dyDescent="0.3">
      <c r="A38" s="31" t="s">
        <v>155</v>
      </c>
      <c r="B38" s="7" t="s">
        <v>148</v>
      </c>
      <c r="C38" s="35">
        <v>1468.22</v>
      </c>
      <c r="D38" s="32"/>
      <c r="G38" s="6"/>
    </row>
    <row r="39" spans="1:7" ht="16.95" customHeight="1" x14ac:dyDescent="0.3">
      <c r="A39" s="31" t="s">
        <v>92</v>
      </c>
      <c r="B39" s="7" t="s">
        <v>151</v>
      </c>
      <c r="C39" s="35">
        <v>1462.03</v>
      </c>
      <c r="D39" s="32"/>
      <c r="G39" s="6"/>
    </row>
    <row r="40" spans="1:7" ht="16.95" customHeight="1" x14ac:dyDescent="0.3">
      <c r="A40" s="31" t="s">
        <v>25</v>
      </c>
      <c r="B40" s="7" t="s">
        <v>151</v>
      </c>
      <c r="C40" s="35">
        <v>1454.96</v>
      </c>
      <c r="D40" s="32"/>
      <c r="G40" s="6"/>
    </row>
    <row r="41" spans="1:7" ht="16.95" customHeight="1" x14ac:dyDescent="0.3">
      <c r="A41" s="31" t="s">
        <v>82</v>
      </c>
      <c r="B41" s="7" t="s">
        <v>151</v>
      </c>
      <c r="C41" s="35">
        <v>1436.94</v>
      </c>
      <c r="D41" s="32"/>
      <c r="G41" s="6"/>
    </row>
    <row r="42" spans="1:7" ht="16.95" customHeight="1" x14ac:dyDescent="0.3">
      <c r="A42" s="31" t="s">
        <v>9</v>
      </c>
      <c r="B42" s="7" t="s">
        <v>148</v>
      </c>
      <c r="C42" s="35">
        <v>1432.76</v>
      </c>
      <c r="D42" s="32"/>
      <c r="G42" s="6"/>
    </row>
    <row r="43" spans="1:7" ht="16.95" customHeight="1" x14ac:dyDescent="0.3">
      <c r="A43" s="31" t="s">
        <v>77</v>
      </c>
      <c r="B43" s="7" t="s">
        <v>151</v>
      </c>
      <c r="C43" s="35">
        <v>1429.48</v>
      </c>
      <c r="D43" s="32"/>
      <c r="G43" s="6"/>
    </row>
    <row r="44" spans="1:7" ht="15.6" x14ac:dyDescent="0.3">
      <c r="A44" s="31" t="s">
        <v>88</v>
      </c>
      <c r="B44" s="7" t="s">
        <v>151</v>
      </c>
      <c r="C44" s="35">
        <v>1388.93</v>
      </c>
      <c r="D44" s="32"/>
    </row>
    <row r="45" spans="1:7" ht="16.95" customHeight="1" x14ac:dyDescent="0.3">
      <c r="A45" s="31" t="s">
        <v>76</v>
      </c>
      <c r="B45" s="7" t="s">
        <v>148</v>
      </c>
      <c r="C45" s="35">
        <v>1370.49</v>
      </c>
      <c r="D45" s="32"/>
      <c r="G45" s="6"/>
    </row>
    <row r="46" spans="1:7" ht="16.95" customHeight="1" x14ac:dyDescent="0.3">
      <c r="A46" s="31" t="s">
        <v>97</v>
      </c>
      <c r="B46" s="7" t="s">
        <v>148</v>
      </c>
      <c r="C46" s="35">
        <v>1351.09</v>
      </c>
      <c r="D46" s="32"/>
      <c r="G46" s="6"/>
    </row>
    <row r="47" spans="1:7" ht="16.95" customHeight="1" x14ac:dyDescent="0.3">
      <c r="A47" s="31" t="s">
        <v>55</v>
      </c>
      <c r="B47" s="7" t="s">
        <v>150</v>
      </c>
      <c r="C47" s="35">
        <v>1302.7</v>
      </c>
      <c r="D47" s="32"/>
      <c r="G47" s="6"/>
    </row>
    <row r="48" spans="1:7" ht="16.95" customHeight="1" x14ac:dyDescent="0.3">
      <c r="A48" s="31" t="s">
        <v>40</v>
      </c>
      <c r="B48" s="7" t="s">
        <v>150</v>
      </c>
      <c r="C48" s="35">
        <v>1294.49</v>
      </c>
      <c r="D48" s="32"/>
      <c r="G48" s="6"/>
    </row>
    <row r="49" spans="1:7" ht="16.95" customHeight="1" x14ac:dyDescent="0.3">
      <c r="A49" s="31" t="s">
        <v>73</v>
      </c>
      <c r="B49" s="7" t="s">
        <v>156</v>
      </c>
      <c r="C49" s="35">
        <v>1279.25</v>
      </c>
      <c r="D49" s="32"/>
      <c r="G49" s="6"/>
    </row>
    <row r="50" spans="1:7" ht="16.95" customHeight="1" x14ac:dyDescent="0.3">
      <c r="A50" s="32"/>
      <c r="B50" s="33"/>
      <c r="G50" s="6"/>
    </row>
    <row r="51" spans="1:7" ht="15.6" x14ac:dyDescent="0.3">
      <c r="A51" s="32"/>
      <c r="B51" s="33"/>
    </row>
    <row r="52" spans="1:7" ht="19.05" customHeight="1" x14ac:dyDescent="0.3">
      <c r="A52" s="32"/>
      <c r="B52" s="33"/>
      <c r="G52" s="6"/>
    </row>
    <row r="53" spans="1:7" ht="19.05" customHeight="1" x14ac:dyDescent="0.3">
      <c r="A53" s="32"/>
      <c r="B53" s="33"/>
      <c r="G53" s="6"/>
    </row>
    <row r="54" spans="1:7" ht="16.95" customHeight="1" x14ac:dyDescent="0.3">
      <c r="A54" s="32"/>
      <c r="B54" s="33"/>
      <c r="G54" s="6"/>
    </row>
    <row r="55" spans="1:7" ht="16.95" customHeight="1" x14ac:dyDescent="0.3">
      <c r="A55" s="32"/>
      <c r="B55" s="33"/>
      <c r="G55" s="6"/>
    </row>
    <row r="56" spans="1:7" ht="16.95" customHeight="1" x14ac:dyDescent="0.3">
      <c r="A56" s="32"/>
      <c r="B56" s="33"/>
      <c r="G56" s="6"/>
    </row>
    <row r="57" spans="1:7" ht="16.95" customHeight="1" x14ac:dyDescent="0.3">
      <c r="A57" s="32"/>
      <c r="B57" s="33"/>
      <c r="G57" s="6"/>
    </row>
    <row r="58" spans="1:7" ht="15.6" x14ac:dyDescent="0.3">
      <c r="A58" s="32"/>
      <c r="B58" s="33"/>
    </row>
    <row r="59" spans="1:7" ht="16.95" customHeight="1" x14ac:dyDescent="0.3">
      <c r="A59" s="32"/>
      <c r="B59" s="33"/>
      <c r="G59" s="6"/>
    </row>
    <row r="60" spans="1:7" ht="16.95" customHeight="1" x14ac:dyDescent="0.3">
      <c r="A60" s="32"/>
      <c r="B60" s="33"/>
      <c r="G60" s="6"/>
    </row>
    <row r="61" spans="1:7" ht="16.95" customHeight="1" x14ac:dyDescent="0.3">
      <c r="A61" s="32"/>
      <c r="B61" s="33"/>
      <c r="G61" s="6"/>
    </row>
    <row r="62" spans="1:7" ht="16.95" customHeight="1" x14ac:dyDescent="0.3">
      <c r="A62" s="32"/>
      <c r="B62" s="33"/>
      <c r="G62" s="6"/>
    </row>
    <row r="63" spans="1:7" ht="16.95" customHeight="1" x14ac:dyDescent="0.3">
      <c r="A63" s="32"/>
      <c r="B63" s="33"/>
      <c r="G63" s="6"/>
    </row>
    <row r="64" spans="1:7" ht="16.95" customHeight="1" x14ac:dyDescent="0.3">
      <c r="A64" s="32"/>
      <c r="B64" s="33"/>
      <c r="G64" s="6"/>
    </row>
    <row r="66" spans="7:7" ht="16.95" customHeight="1" x14ac:dyDescent="0.3">
      <c r="G66" s="6"/>
    </row>
    <row r="67" spans="7:7" ht="16.95" customHeight="1" x14ac:dyDescent="0.3">
      <c r="G67" s="6"/>
    </row>
    <row r="68" spans="7:7" ht="16.95" customHeight="1" x14ac:dyDescent="0.3">
      <c r="G68" s="6"/>
    </row>
    <row r="69" spans="7:7" ht="16.95" customHeight="1" x14ac:dyDescent="0.3">
      <c r="G69" s="6"/>
    </row>
    <row r="70" spans="7:7" ht="16.95" customHeight="1" x14ac:dyDescent="0.3">
      <c r="G70" s="6"/>
    </row>
    <row r="71" spans="7:7" ht="16.95" customHeight="1" x14ac:dyDescent="0.3">
      <c r="G71" s="6"/>
    </row>
    <row r="73" spans="7:7" ht="16.95" customHeight="1" x14ac:dyDescent="0.3">
      <c r="G73" s="6"/>
    </row>
    <row r="74" spans="7:7" ht="16.95" customHeight="1" x14ac:dyDescent="0.3">
      <c r="G74" s="6"/>
    </row>
    <row r="75" spans="7:7" ht="16.95" customHeight="1" x14ac:dyDescent="0.3">
      <c r="G75" s="6"/>
    </row>
    <row r="76" spans="7:7" ht="16.95" customHeight="1" x14ac:dyDescent="0.3">
      <c r="G76" s="6"/>
    </row>
    <row r="77" spans="7:7" ht="16.95" customHeight="1" x14ac:dyDescent="0.3">
      <c r="G77" s="6"/>
    </row>
    <row r="78" spans="7:7" ht="16.95" customHeight="1" x14ac:dyDescent="0.3">
      <c r="G78" s="6"/>
    </row>
    <row r="80" spans="7:7" ht="16.95" customHeight="1" x14ac:dyDescent="0.3">
      <c r="G80" s="6"/>
    </row>
    <row r="81" spans="7:7" ht="16.95" customHeight="1" x14ac:dyDescent="0.3">
      <c r="G81" s="6"/>
    </row>
    <row r="82" spans="7:7" ht="16.95" customHeight="1" x14ac:dyDescent="0.3">
      <c r="G82" s="6"/>
    </row>
    <row r="83" spans="7:7" ht="16.95" customHeight="1" x14ac:dyDescent="0.3">
      <c r="G83" s="6"/>
    </row>
    <row r="84" spans="7:7" ht="16.95" customHeight="1" x14ac:dyDescent="0.3">
      <c r="G84" s="6"/>
    </row>
    <row r="85" spans="7:7" ht="16.95" customHeight="1" x14ac:dyDescent="0.3">
      <c r="G85" s="6"/>
    </row>
    <row r="87" spans="7:7" ht="16.95" customHeight="1" x14ac:dyDescent="0.3">
      <c r="G87" s="6"/>
    </row>
  </sheetData>
  <sortState xmlns:xlrd2="http://schemas.microsoft.com/office/spreadsheetml/2017/richdata2" ref="A2:C87">
    <sortCondition descending="1" ref="C2:C87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tabSelected="1" topLeftCell="A69" zoomScaleNormal="100" workbookViewId="0">
      <selection activeCell="B85" sqref="B85"/>
    </sheetView>
  </sheetViews>
  <sheetFormatPr defaultColWidth="11" defaultRowHeight="13.8" x14ac:dyDescent="0.25"/>
  <cols>
    <col min="1" max="1" width="39.296875" style="27" bestFit="1" customWidth="1"/>
    <col min="2" max="2" width="11" style="27"/>
    <col min="3" max="4" width="5.296875" style="27" bestFit="1" customWidth="1"/>
    <col min="5" max="5" width="46.5" style="27" bestFit="1" customWidth="1"/>
    <col min="6" max="6" width="11" style="27"/>
    <col min="7" max="7" width="32.69921875" style="27" bestFit="1" customWidth="1"/>
    <col min="8" max="8" width="11" style="27" bestFit="1" customWidth="1"/>
    <col min="9" max="16384" width="11" style="27"/>
  </cols>
  <sheetData>
    <row r="1" spans="1:1" ht="19.05" customHeight="1" x14ac:dyDescent="0.25">
      <c r="A1" s="27" t="s">
        <v>157</v>
      </c>
    </row>
    <row r="2" spans="1:1" ht="19.05" customHeight="1" x14ac:dyDescent="0.25">
      <c r="A2" s="27" t="s">
        <v>352</v>
      </c>
    </row>
    <row r="3" spans="1:1" ht="16.95" customHeight="1" x14ac:dyDescent="0.25">
      <c r="A3" s="27" t="s">
        <v>353</v>
      </c>
    </row>
    <row r="4" spans="1:1" ht="16.95" customHeight="1" x14ac:dyDescent="0.25">
      <c r="A4" s="27" t="s">
        <v>354</v>
      </c>
    </row>
    <row r="5" spans="1:1" ht="16.95" customHeight="1" x14ac:dyDescent="0.25">
      <c r="A5" s="27" t="s">
        <v>355</v>
      </c>
    </row>
    <row r="6" spans="1:1" ht="16.95" customHeight="1" x14ac:dyDescent="0.25">
      <c r="A6" s="27" t="s">
        <v>356</v>
      </c>
    </row>
    <row r="7" spans="1:1" ht="16.95" customHeight="1" x14ac:dyDescent="0.25"/>
    <row r="8" spans="1:1" ht="16.95" customHeight="1" x14ac:dyDescent="0.25">
      <c r="A8" s="27" t="s">
        <v>158</v>
      </c>
    </row>
    <row r="9" spans="1:1" x14ac:dyDescent="0.25">
      <c r="A9" s="27" t="s">
        <v>357</v>
      </c>
    </row>
    <row r="10" spans="1:1" ht="16.95" customHeight="1" x14ac:dyDescent="0.25">
      <c r="A10" s="27" t="s">
        <v>358</v>
      </c>
    </row>
    <row r="11" spans="1:1" ht="16.95" customHeight="1" x14ac:dyDescent="0.25">
      <c r="A11" s="27" t="s">
        <v>359</v>
      </c>
    </row>
    <row r="12" spans="1:1" ht="16.95" customHeight="1" x14ac:dyDescent="0.25">
      <c r="A12" s="27" t="s">
        <v>360</v>
      </c>
    </row>
    <row r="13" spans="1:1" ht="16.95" customHeight="1" x14ac:dyDescent="0.25">
      <c r="A13" s="27" t="s">
        <v>361</v>
      </c>
    </row>
    <row r="14" spans="1:1" ht="16.95" customHeight="1" x14ac:dyDescent="0.25"/>
    <row r="15" spans="1:1" ht="16.95" customHeight="1" x14ac:dyDescent="0.25">
      <c r="A15" s="27" t="s">
        <v>159</v>
      </c>
    </row>
    <row r="16" spans="1:1" x14ac:dyDescent="0.25">
      <c r="A16" s="27" t="s">
        <v>362</v>
      </c>
    </row>
    <row r="17" spans="1:1" ht="16.95" customHeight="1" x14ac:dyDescent="0.25">
      <c r="A17" s="27" t="s">
        <v>363</v>
      </c>
    </row>
    <row r="18" spans="1:1" ht="16.95" customHeight="1" x14ac:dyDescent="0.25">
      <c r="A18" s="27" t="s">
        <v>364</v>
      </c>
    </row>
    <row r="19" spans="1:1" ht="16.95" customHeight="1" x14ac:dyDescent="0.25">
      <c r="A19" s="27" t="s">
        <v>365</v>
      </c>
    </row>
    <row r="20" spans="1:1" ht="16.95" customHeight="1" x14ac:dyDescent="0.25">
      <c r="A20" s="27" t="s">
        <v>366</v>
      </c>
    </row>
    <row r="21" spans="1:1" ht="16.95" customHeight="1" x14ac:dyDescent="0.25"/>
    <row r="22" spans="1:1" ht="16.95" customHeight="1" x14ac:dyDescent="0.25">
      <c r="A22" s="27" t="s">
        <v>160</v>
      </c>
    </row>
    <row r="23" spans="1:1" x14ac:dyDescent="0.25">
      <c r="A23" s="27" t="s">
        <v>367</v>
      </c>
    </row>
    <row r="24" spans="1:1" ht="16.95" customHeight="1" x14ac:dyDescent="0.25">
      <c r="A24" s="27" t="s">
        <v>368</v>
      </c>
    </row>
    <row r="25" spans="1:1" ht="16.95" customHeight="1" x14ac:dyDescent="0.25">
      <c r="A25" s="27" t="s">
        <v>369</v>
      </c>
    </row>
    <row r="26" spans="1:1" ht="16.95" customHeight="1" x14ac:dyDescent="0.25">
      <c r="A26" s="27" t="s">
        <v>370</v>
      </c>
    </row>
    <row r="27" spans="1:1" ht="16.95" customHeight="1" x14ac:dyDescent="0.25">
      <c r="A27" s="27" t="s">
        <v>371</v>
      </c>
    </row>
    <row r="28" spans="1:1" ht="16.95" customHeight="1" x14ac:dyDescent="0.25"/>
    <row r="29" spans="1:1" ht="16.95" customHeight="1" x14ac:dyDescent="0.25">
      <c r="A29" s="27" t="s">
        <v>161</v>
      </c>
    </row>
    <row r="30" spans="1:1" x14ac:dyDescent="0.25">
      <c r="A30" s="27" t="s">
        <v>372</v>
      </c>
    </row>
    <row r="31" spans="1:1" ht="16.95" customHeight="1" x14ac:dyDescent="0.25">
      <c r="A31" s="27" t="s">
        <v>373</v>
      </c>
    </row>
    <row r="32" spans="1:1" ht="16.95" customHeight="1" x14ac:dyDescent="0.25">
      <c r="A32" s="27" t="s">
        <v>374</v>
      </c>
    </row>
    <row r="33" spans="1:1" ht="16.95" customHeight="1" x14ac:dyDescent="0.25">
      <c r="A33" s="27" t="s">
        <v>375</v>
      </c>
    </row>
    <row r="34" spans="1:1" ht="16.95" customHeight="1" x14ac:dyDescent="0.25">
      <c r="A34" s="27" t="s">
        <v>376</v>
      </c>
    </row>
    <row r="35" spans="1:1" ht="16.95" customHeight="1" x14ac:dyDescent="0.25"/>
    <row r="36" spans="1:1" ht="16.95" customHeight="1" x14ac:dyDescent="0.25">
      <c r="A36" s="27" t="s">
        <v>162</v>
      </c>
    </row>
    <row r="37" spans="1:1" x14ac:dyDescent="0.25">
      <c r="A37" s="27" t="s">
        <v>377</v>
      </c>
    </row>
    <row r="38" spans="1:1" ht="16.95" customHeight="1" x14ac:dyDescent="0.25">
      <c r="A38" s="27" t="s">
        <v>378</v>
      </c>
    </row>
    <row r="39" spans="1:1" ht="16.95" customHeight="1" x14ac:dyDescent="0.25">
      <c r="A39" s="27" t="s">
        <v>379</v>
      </c>
    </row>
    <row r="40" spans="1:1" ht="16.95" customHeight="1" x14ac:dyDescent="0.25">
      <c r="A40" s="27" t="s">
        <v>380</v>
      </c>
    </row>
    <row r="41" spans="1:1" ht="16.95" customHeight="1" x14ac:dyDescent="0.25">
      <c r="A41" s="27" t="s">
        <v>381</v>
      </c>
    </row>
    <row r="42" spans="1:1" ht="16.95" customHeight="1" x14ac:dyDescent="0.25"/>
    <row r="43" spans="1:1" ht="16.95" customHeight="1" x14ac:dyDescent="0.25">
      <c r="A43" s="27" t="s">
        <v>163</v>
      </c>
    </row>
    <row r="44" spans="1:1" x14ac:dyDescent="0.25">
      <c r="A44" s="27" t="s">
        <v>382</v>
      </c>
    </row>
    <row r="45" spans="1:1" ht="16.95" customHeight="1" x14ac:dyDescent="0.25">
      <c r="A45" s="27" t="s">
        <v>383</v>
      </c>
    </row>
    <row r="46" spans="1:1" ht="16.95" customHeight="1" x14ac:dyDescent="0.25">
      <c r="A46" s="27" t="s">
        <v>384</v>
      </c>
    </row>
    <row r="47" spans="1:1" ht="16.95" customHeight="1" x14ac:dyDescent="0.25">
      <c r="A47" s="27" t="s">
        <v>385</v>
      </c>
    </row>
    <row r="48" spans="1:1" ht="16.95" customHeight="1" x14ac:dyDescent="0.25">
      <c r="A48" s="27" t="s">
        <v>386</v>
      </c>
    </row>
    <row r="49" spans="1:1" ht="16.95" customHeight="1" x14ac:dyDescent="0.25"/>
    <row r="50" spans="1:1" ht="16.95" customHeight="1" x14ac:dyDescent="0.25">
      <c r="A50" s="27" t="s">
        <v>164</v>
      </c>
    </row>
    <row r="51" spans="1:1" x14ac:dyDescent="0.25">
      <c r="A51" s="27" t="s">
        <v>387</v>
      </c>
    </row>
    <row r="52" spans="1:1" ht="19.05" customHeight="1" x14ac:dyDescent="0.25">
      <c r="A52" s="27" t="s">
        <v>388</v>
      </c>
    </row>
    <row r="53" spans="1:1" ht="16.95" customHeight="1" x14ac:dyDescent="0.25">
      <c r="A53" s="27" t="s">
        <v>389</v>
      </c>
    </row>
    <row r="54" spans="1:1" ht="16.95" customHeight="1" x14ac:dyDescent="0.25">
      <c r="A54" s="27" t="s">
        <v>390</v>
      </c>
    </row>
    <row r="55" spans="1:1" ht="16.95" customHeight="1" x14ac:dyDescent="0.25">
      <c r="A55" s="27" t="s">
        <v>391</v>
      </c>
    </row>
    <row r="56" spans="1:1" ht="16.95" customHeight="1" x14ac:dyDescent="0.25"/>
    <row r="57" spans="1:1" ht="16.95" customHeight="1" x14ac:dyDescent="0.25">
      <c r="A57" s="27" t="s">
        <v>165</v>
      </c>
    </row>
    <row r="58" spans="1:1" x14ac:dyDescent="0.25">
      <c r="A58" s="27" t="s">
        <v>392</v>
      </c>
    </row>
    <row r="59" spans="1:1" ht="16.95" customHeight="1" x14ac:dyDescent="0.25">
      <c r="A59" s="27" t="s">
        <v>393</v>
      </c>
    </row>
    <row r="60" spans="1:1" ht="16.95" customHeight="1" x14ac:dyDescent="0.25">
      <c r="A60" s="27" t="s">
        <v>394</v>
      </c>
    </row>
    <row r="61" spans="1:1" ht="16.95" customHeight="1" x14ac:dyDescent="0.25">
      <c r="A61" s="27" t="s">
        <v>395</v>
      </c>
    </row>
    <row r="62" spans="1:1" ht="16.95" customHeight="1" x14ac:dyDescent="0.25">
      <c r="A62" s="27" t="s">
        <v>396</v>
      </c>
    </row>
    <row r="63" spans="1:1" ht="16.95" customHeight="1" x14ac:dyDescent="0.25"/>
    <row r="64" spans="1:1" ht="16.95" customHeight="1" x14ac:dyDescent="0.25">
      <c r="A64" s="27" t="s">
        <v>166</v>
      </c>
    </row>
    <row r="65" spans="1:1" x14ac:dyDescent="0.25">
      <c r="A65" s="27" t="s">
        <v>397</v>
      </c>
    </row>
    <row r="66" spans="1:1" ht="16.95" customHeight="1" x14ac:dyDescent="0.25">
      <c r="A66" s="27" t="s">
        <v>398</v>
      </c>
    </row>
    <row r="67" spans="1:1" ht="16.95" customHeight="1" x14ac:dyDescent="0.25">
      <c r="A67" s="27" t="s">
        <v>399</v>
      </c>
    </row>
    <row r="68" spans="1:1" ht="16.95" customHeight="1" x14ac:dyDescent="0.25">
      <c r="A68" s="27" t="s">
        <v>400</v>
      </c>
    </row>
    <row r="69" spans="1:1" ht="16.95" customHeight="1" x14ac:dyDescent="0.25">
      <c r="A69" s="27" t="s">
        <v>401</v>
      </c>
    </row>
    <row r="70" spans="1:1" ht="16.95" customHeight="1" x14ac:dyDescent="0.25"/>
    <row r="71" spans="1:1" ht="16.95" customHeight="1" x14ac:dyDescent="0.25">
      <c r="A71" s="27" t="s">
        <v>167</v>
      </c>
    </row>
    <row r="72" spans="1:1" x14ac:dyDescent="0.25">
      <c r="A72" s="27" t="s">
        <v>402</v>
      </c>
    </row>
    <row r="73" spans="1:1" ht="16.95" customHeight="1" x14ac:dyDescent="0.25">
      <c r="A73" s="27" t="s">
        <v>403</v>
      </c>
    </row>
    <row r="74" spans="1:1" ht="16.95" customHeight="1" x14ac:dyDescent="0.25">
      <c r="A74" s="27" t="s">
        <v>404</v>
      </c>
    </row>
    <row r="75" spans="1:1" ht="16.95" customHeight="1" x14ac:dyDescent="0.25">
      <c r="A75" s="27" t="s">
        <v>405</v>
      </c>
    </row>
    <row r="76" spans="1:1" ht="16.95" customHeight="1" x14ac:dyDescent="0.25">
      <c r="A76" s="27" t="s">
        <v>406</v>
      </c>
    </row>
    <row r="77" spans="1:1" ht="16.95" customHeight="1" x14ac:dyDescent="0.25"/>
    <row r="78" spans="1:1" ht="16.95" customHeight="1" x14ac:dyDescent="0.25">
      <c r="A78" s="27" t="s">
        <v>168</v>
      </c>
    </row>
    <row r="79" spans="1:1" x14ac:dyDescent="0.25">
      <c r="A79" s="27" t="s">
        <v>407</v>
      </c>
    </row>
    <row r="80" spans="1:1" ht="16.95" customHeight="1" x14ac:dyDescent="0.25">
      <c r="A80" s="27" t="s">
        <v>408</v>
      </c>
    </row>
    <row r="81" spans="1:1" ht="16.95" customHeight="1" x14ac:dyDescent="0.25">
      <c r="A81" s="27" t="s">
        <v>409</v>
      </c>
    </row>
    <row r="82" spans="1:1" ht="16.95" customHeight="1" x14ac:dyDescent="0.25">
      <c r="A82" s="27" t="s">
        <v>410</v>
      </c>
    </row>
    <row r="83" spans="1:1" ht="16.95" customHeight="1" x14ac:dyDescent="0.25">
      <c r="A83" s="27" t="s">
        <v>411</v>
      </c>
    </row>
    <row r="84" spans="1:1" ht="16.95" customHeight="1" x14ac:dyDescent="0.25"/>
    <row r="85" spans="1:1" ht="16.95" customHeight="1" x14ac:dyDescent="0.25">
      <c r="A85" s="27" t="s">
        <v>412</v>
      </c>
    </row>
    <row r="87" spans="1:1" ht="16.95" customHeight="1" x14ac:dyDescent="0.25"/>
  </sheetData>
  <sortState xmlns:xlrd2="http://schemas.microsoft.com/office/spreadsheetml/2017/richdata2" ref="A1:C48">
    <sortCondition descending="1" ref="C1:C48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CB8F-2A59-4272-8A1B-42DED6FF14BF}">
  <dimension ref="A1:F25"/>
  <sheetViews>
    <sheetView workbookViewId="0">
      <selection activeCell="I6" sqref="I6"/>
    </sheetView>
  </sheetViews>
  <sheetFormatPr defaultColWidth="8.796875" defaultRowHeight="15.75" customHeight="1" x14ac:dyDescent="0.3"/>
  <cols>
    <col min="2" max="2" width="13.19921875" customWidth="1"/>
    <col min="3" max="3" width="18.19921875" customWidth="1"/>
    <col min="4" max="4" width="24.69921875" customWidth="1"/>
  </cols>
  <sheetData>
    <row r="1" spans="1:6" x14ac:dyDescent="0.3">
      <c r="A1" s="14" t="s">
        <v>169</v>
      </c>
      <c r="B1" s="14" t="s">
        <v>102</v>
      </c>
      <c r="C1" s="14" t="s">
        <v>170</v>
      </c>
      <c r="D1" s="53" t="s">
        <v>171</v>
      </c>
    </row>
    <row r="2" spans="1:6" x14ac:dyDescent="0.3">
      <c r="A2" s="15">
        <v>1</v>
      </c>
      <c r="B2" s="15" t="s">
        <v>37</v>
      </c>
      <c r="C2" s="15" t="s">
        <v>148</v>
      </c>
      <c r="D2" s="15">
        <v>62548</v>
      </c>
    </row>
    <row r="3" spans="1:6" x14ac:dyDescent="0.3">
      <c r="A3" s="15">
        <v>3</v>
      </c>
      <c r="B3" s="15" t="s">
        <v>54</v>
      </c>
      <c r="C3" s="15" t="s">
        <v>146</v>
      </c>
      <c r="D3" s="15">
        <v>61149</v>
      </c>
    </row>
    <row r="4" spans="1:6" x14ac:dyDescent="0.3">
      <c r="A4" s="15">
        <v>4</v>
      </c>
      <c r="B4" s="15" t="s">
        <v>90</v>
      </c>
      <c r="C4" s="15" t="s">
        <v>146</v>
      </c>
      <c r="D4" s="15">
        <v>60939</v>
      </c>
    </row>
    <row r="5" spans="1:6" x14ac:dyDescent="0.3">
      <c r="A5" s="15">
        <v>5</v>
      </c>
      <c r="B5" s="15" t="s">
        <v>13</v>
      </c>
      <c r="C5" s="15" t="s">
        <v>146</v>
      </c>
      <c r="D5" s="15">
        <v>59369</v>
      </c>
    </row>
    <row r="6" spans="1:6" x14ac:dyDescent="0.3">
      <c r="A6" s="15">
        <v>6</v>
      </c>
      <c r="B6" s="15" t="s">
        <v>75</v>
      </c>
      <c r="C6" s="15" t="s">
        <v>146</v>
      </c>
      <c r="D6" s="15">
        <v>55992</v>
      </c>
    </row>
    <row r="7" spans="1:6" x14ac:dyDescent="0.3">
      <c r="A7" s="15">
        <v>8</v>
      </c>
      <c r="B7" s="15" t="s">
        <v>80</v>
      </c>
      <c r="C7" s="15" t="s">
        <v>146</v>
      </c>
      <c r="D7" s="15">
        <v>51848</v>
      </c>
    </row>
    <row r="8" spans="1:6" x14ac:dyDescent="0.3">
      <c r="A8" s="15">
        <v>9</v>
      </c>
      <c r="B8" s="15" t="s">
        <v>96</v>
      </c>
      <c r="C8" s="15" t="s">
        <v>146</v>
      </c>
      <c r="D8" s="15">
        <v>49999</v>
      </c>
      <c r="F8" s="38"/>
    </row>
    <row r="9" spans="1:6" x14ac:dyDescent="0.3">
      <c r="A9" s="15">
        <v>11</v>
      </c>
      <c r="B9" s="15" t="s">
        <v>70</v>
      </c>
      <c r="C9" s="15" t="s">
        <v>146</v>
      </c>
      <c r="D9" s="15">
        <v>48330</v>
      </c>
    </row>
    <row r="10" spans="1:6" x14ac:dyDescent="0.3">
      <c r="A10" s="15">
        <v>12</v>
      </c>
      <c r="B10" s="15" t="s">
        <v>36</v>
      </c>
      <c r="C10" s="15" t="s">
        <v>147</v>
      </c>
      <c r="D10" s="15">
        <v>48105</v>
      </c>
    </row>
    <row r="11" spans="1:6" x14ac:dyDescent="0.3">
      <c r="A11" s="15">
        <v>13</v>
      </c>
      <c r="B11" s="15" t="s">
        <v>51</v>
      </c>
      <c r="C11" s="15" t="s">
        <v>151</v>
      </c>
      <c r="D11" s="15">
        <v>44073</v>
      </c>
    </row>
    <row r="12" spans="1:6" x14ac:dyDescent="0.3">
      <c r="A12" s="15">
        <v>14</v>
      </c>
      <c r="B12" s="15" t="s">
        <v>85</v>
      </c>
      <c r="C12" s="15" t="s">
        <v>147</v>
      </c>
      <c r="D12" s="15">
        <v>43754</v>
      </c>
    </row>
    <row r="13" spans="1:6" x14ac:dyDescent="0.3">
      <c r="A13" s="15">
        <v>17</v>
      </c>
      <c r="B13" s="15" t="s">
        <v>26</v>
      </c>
      <c r="C13" s="15" t="s">
        <v>146</v>
      </c>
      <c r="D13" s="15">
        <v>43319</v>
      </c>
    </row>
    <row r="14" spans="1:6" x14ac:dyDescent="0.3">
      <c r="A14" s="15">
        <v>18</v>
      </c>
      <c r="B14" s="15" t="s">
        <v>78</v>
      </c>
      <c r="C14" s="15" t="s">
        <v>147</v>
      </c>
      <c r="D14" s="15">
        <v>43064</v>
      </c>
    </row>
    <row r="15" spans="1:6" x14ac:dyDescent="0.3">
      <c r="A15" s="15">
        <v>19</v>
      </c>
      <c r="B15" s="31" t="s">
        <v>12</v>
      </c>
      <c r="C15" s="15" t="s">
        <v>151</v>
      </c>
      <c r="D15" s="15">
        <v>42654</v>
      </c>
    </row>
    <row r="16" spans="1:6" x14ac:dyDescent="0.3">
      <c r="A16" s="15">
        <v>20</v>
      </c>
      <c r="B16" s="15" t="s">
        <v>93</v>
      </c>
      <c r="C16" s="15" t="s">
        <v>147</v>
      </c>
      <c r="D16" s="15">
        <v>42516</v>
      </c>
    </row>
    <row r="17" spans="1:4" x14ac:dyDescent="0.3">
      <c r="A17" s="15">
        <v>21</v>
      </c>
      <c r="B17" s="15" t="s">
        <v>72</v>
      </c>
      <c r="C17" s="15" t="s">
        <v>151</v>
      </c>
      <c r="D17" s="15">
        <v>42202</v>
      </c>
    </row>
    <row r="18" spans="1:4" x14ac:dyDescent="0.3">
      <c r="A18" s="15">
        <v>22</v>
      </c>
      <c r="B18" s="15" t="s">
        <v>81</v>
      </c>
      <c r="C18" s="15" t="s">
        <v>148</v>
      </c>
      <c r="D18" s="15">
        <v>41970</v>
      </c>
    </row>
    <row r="19" spans="1:4" x14ac:dyDescent="0.3">
      <c r="A19" s="15">
        <v>24</v>
      </c>
      <c r="B19" s="15" t="s">
        <v>68</v>
      </c>
      <c r="C19" s="15" t="s">
        <v>148</v>
      </c>
      <c r="D19" s="15">
        <v>41064</v>
      </c>
    </row>
    <row r="20" spans="1:4" x14ac:dyDescent="0.3">
      <c r="A20" s="15">
        <v>27</v>
      </c>
      <c r="B20" s="15" t="s">
        <v>95</v>
      </c>
      <c r="C20" s="15" t="s">
        <v>146</v>
      </c>
      <c r="D20" s="15">
        <v>38646</v>
      </c>
    </row>
    <row r="21" spans="1:4" x14ac:dyDescent="0.3">
      <c r="A21" s="15">
        <v>28</v>
      </c>
      <c r="B21" s="15" t="s">
        <v>64</v>
      </c>
      <c r="C21" s="15" t="s">
        <v>151</v>
      </c>
      <c r="D21" s="15">
        <v>37381</v>
      </c>
    </row>
    <row r="22" spans="1:4" x14ac:dyDescent="0.3">
      <c r="A22" s="15">
        <v>29</v>
      </c>
      <c r="B22" s="15" t="s">
        <v>98</v>
      </c>
      <c r="C22" s="15" t="s">
        <v>150</v>
      </c>
      <c r="D22" s="15">
        <v>37168</v>
      </c>
    </row>
    <row r="23" spans="1:4" x14ac:dyDescent="0.3">
      <c r="A23" s="15">
        <v>30</v>
      </c>
      <c r="B23" s="15" t="s">
        <v>77</v>
      </c>
      <c r="C23" s="15" t="s">
        <v>151</v>
      </c>
      <c r="D23" s="15">
        <v>36823</v>
      </c>
    </row>
    <row r="24" spans="1:4" x14ac:dyDescent="0.3">
      <c r="A24" s="15">
        <v>31</v>
      </c>
      <c r="B24" s="15" t="s">
        <v>8</v>
      </c>
      <c r="C24" s="15" t="s">
        <v>150</v>
      </c>
      <c r="D24" s="15">
        <v>33061</v>
      </c>
    </row>
    <row r="25" spans="1:4" x14ac:dyDescent="0.3">
      <c r="A25" s="15">
        <v>32</v>
      </c>
      <c r="B25" s="15" t="s">
        <v>71</v>
      </c>
      <c r="C25" s="15" t="s">
        <v>148</v>
      </c>
      <c r="D25" s="15">
        <v>27015</v>
      </c>
    </row>
  </sheetData>
  <hyperlinks>
    <hyperlink ref="D1" r:id="rId1" xr:uid="{06D3F6FB-DDD6-4A13-B391-E633FF27804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F8FA-1FC5-6141-B695-A78CA1DE0CCB}">
  <dimension ref="A1:T49"/>
  <sheetViews>
    <sheetView topLeftCell="S1" zoomScale="117" workbookViewId="0">
      <selection activeCell="D1" sqref="D1:R1048576"/>
    </sheetView>
  </sheetViews>
  <sheetFormatPr defaultColWidth="11" defaultRowHeight="15.75" customHeight="1" x14ac:dyDescent="0.3"/>
  <cols>
    <col min="1" max="1" width="15.296875" customWidth="1"/>
    <col min="2" max="2" width="17.296875" hidden="1" customWidth="1"/>
    <col min="3" max="3" width="31.5" customWidth="1"/>
    <col min="4" max="4" width="15" hidden="1" customWidth="1"/>
    <col min="5" max="5" width="14.19921875" hidden="1" customWidth="1"/>
    <col min="6" max="18" width="11" hidden="1" customWidth="1"/>
    <col min="19" max="19" width="11" bestFit="1" customWidth="1"/>
  </cols>
  <sheetData>
    <row r="1" spans="1:20" x14ac:dyDescent="0.3">
      <c r="A1" s="18" t="s">
        <v>102</v>
      </c>
      <c r="B1" s="18" t="s">
        <v>172</v>
      </c>
      <c r="C1" s="19" t="s">
        <v>173</v>
      </c>
      <c r="D1" s="18" t="s">
        <v>174</v>
      </c>
      <c r="E1" s="18" t="s">
        <v>175</v>
      </c>
      <c r="F1" s="18" t="s">
        <v>176</v>
      </c>
      <c r="G1" s="18" t="s">
        <v>177</v>
      </c>
      <c r="H1" s="18" t="s">
        <v>178</v>
      </c>
      <c r="I1" s="18" t="s">
        <v>179</v>
      </c>
      <c r="J1" s="18" t="s">
        <v>180</v>
      </c>
      <c r="K1" s="18" t="s">
        <v>181</v>
      </c>
      <c r="L1" s="18" t="s">
        <v>182</v>
      </c>
      <c r="M1" s="20" t="s">
        <v>183</v>
      </c>
      <c r="N1" s="20" t="s">
        <v>184</v>
      </c>
      <c r="O1" s="20" t="s">
        <v>185</v>
      </c>
      <c r="P1" s="20" t="s">
        <v>186</v>
      </c>
      <c r="Q1" s="20" t="s">
        <v>187</v>
      </c>
      <c r="R1" s="20" t="s">
        <v>188</v>
      </c>
      <c r="T1" s="1"/>
    </row>
    <row r="2" spans="1:20" x14ac:dyDescent="0.3">
      <c r="A2" s="21" t="s">
        <v>26</v>
      </c>
      <c r="B2" s="21" t="s">
        <v>189</v>
      </c>
      <c r="C2" s="34">
        <v>103998.186685604</v>
      </c>
      <c r="D2" s="18">
        <v>6083.9</v>
      </c>
      <c r="E2" s="21" t="s">
        <v>190</v>
      </c>
      <c r="F2" s="21">
        <v>6598.1</v>
      </c>
      <c r="G2" s="21">
        <v>6083.9</v>
      </c>
      <c r="H2" s="21">
        <v>9629.1</v>
      </c>
      <c r="I2" s="21">
        <v>38004</v>
      </c>
      <c r="J2" s="21">
        <v>18185</v>
      </c>
      <c r="K2" s="21">
        <v>1439</v>
      </c>
      <c r="L2" s="21">
        <f t="shared" ref="L2:L49" si="0">IFERROR(VALUE(I2),0)+IFERROR(VALUE(J2),0)+IFERROR(VALUE(K2),0)</f>
        <v>57628</v>
      </c>
      <c r="M2" s="22">
        <f t="shared" ref="M2:M49" si="1">MAX(D2, 1)</f>
        <v>6083.9</v>
      </c>
      <c r="N2" s="22">
        <f t="shared" ref="N2:N49" si="2">1/M2</f>
        <v>1.6436825062870856E-4</v>
      </c>
      <c r="O2" s="22">
        <f t="shared" ref="O2:O49" si="3">(C2-MIN($C:$C))/(MAX($C:$C)-MIN($C:$C))</f>
        <v>1</v>
      </c>
      <c r="P2" s="22">
        <f t="shared" ref="P2:P49" si="4">(N2-MIN($N:$N))/(MAX($N:$N)-MIN($N:$N))</f>
        <v>8.850300704232018E-5</v>
      </c>
      <c r="Q2" s="22">
        <f t="shared" ref="Q2:Q49" si="5">(L2-MIN($L:$L))/(MAX($L:$L)-MIN($L:$L))</f>
        <v>5.0937827329818313E-3</v>
      </c>
      <c r="R2" s="22">
        <f t="shared" ref="R2:R49" si="6">0.4*O2+0.3*P2+0.3*Q2</f>
        <v>0.40155468572200725</v>
      </c>
    </row>
    <row r="3" spans="1:20" x14ac:dyDescent="0.3">
      <c r="A3" s="21" t="s">
        <v>83</v>
      </c>
      <c r="B3" s="21" t="s">
        <v>191</v>
      </c>
      <c r="C3" s="34">
        <v>86785.433448917596</v>
      </c>
      <c r="D3" s="18">
        <v>5597.9</v>
      </c>
      <c r="E3" s="21" t="s">
        <v>190</v>
      </c>
      <c r="F3" s="21">
        <v>6231.6</v>
      </c>
      <c r="G3" s="21">
        <v>5597.9</v>
      </c>
      <c r="H3" s="21">
        <v>9195.1</v>
      </c>
      <c r="I3" s="21">
        <v>19842</v>
      </c>
      <c r="J3" s="21">
        <v>3845</v>
      </c>
      <c r="K3" s="21" t="s">
        <v>192</v>
      </c>
      <c r="L3" s="21">
        <f t="shared" si="0"/>
        <v>23687</v>
      </c>
      <c r="M3" s="22">
        <f t="shared" si="1"/>
        <v>5597.9</v>
      </c>
      <c r="N3" s="22">
        <f t="shared" si="2"/>
        <v>1.7863841797817039E-4</v>
      </c>
      <c r="O3" s="22">
        <f t="shared" si="3"/>
        <v>0.83344990286064902</v>
      </c>
      <c r="P3" s="22">
        <f t="shared" si="4"/>
        <v>1.027742571794799E-4</v>
      </c>
      <c r="Q3" s="22">
        <f t="shared" si="5"/>
        <v>2.0724787164126835E-3</v>
      </c>
      <c r="R3" s="22">
        <f t="shared" si="6"/>
        <v>0.33403253703633723</v>
      </c>
    </row>
    <row r="4" spans="1:20" x14ac:dyDescent="0.3">
      <c r="A4" s="21" t="s">
        <v>109</v>
      </c>
      <c r="B4" s="21" t="s">
        <v>193</v>
      </c>
      <c r="C4" s="34">
        <v>84534.0407841548</v>
      </c>
      <c r="D4" s="18">
        <v>0</v>
      </c>
      <c r="E4" s="21" t="s">
        <v>193</v>
      </c>
      <c r="F4" s="21">
        <v>0</v>
      </c>
      <c r="G4" s="21">
        <v>732.7</v>
      </c>
      <c r="H4" s="21">
        <v>3031.8</v>
      </c>
      <c r="I4" s="21">
        <v>0</v>
      </c>
      <c r="J4" s="21">
        <v>256090</v>
      </c>
      <c r="K4" s="21">
        <v>797266</v>
      </c>
      <c r="L4" s="21">
        <f t="shared" si="0"/>
        <v>1053356</v>
      </c>
      <c r="M4" s="22">
        <f t="shared" si="1"/>
        <v>1</v>
      </c>
      <c r="N4" s="22">
        <f t="shared" si="2"/>
        <v>1</v>
      </c>
      <c r="O4" s="22">
        <f t="shared" si="3"/>
        <v>0.81166549325115822</v>
      </c>
      <c r="P4" s="22">
        <f t="shared" si="4"/>
        <v>1</v>
      </c>
      <c r="Q4" s="22">
        <f t="shared" si="5"/>
        <v>9.3729857268510089E-2</v>
      </c>
      <c r="R4" s="22">
        <f t="shared" si="6"/>
        <v>0.65278515448101626</v>
      </c>
    </row>
    <row r="5" spans="1:20" x14ac:dyDescent="0.3">
      <c r="A5" s="21" t="s">
        <v>25</v>
      </c>
      <c r="B5" s="21" t="s">
        <v>194</v>
      </c>
      <c r="C5" s="34">
        <v>76688.694174317905</v>
      </c>
      <c r="D5" s="18">
        <v>10515.7</v>
      </c>
      <c r="E5" s="21" t="s">
        <v>190</v>
      </c>
      <c r="F5" s="21">
        <v>11098.2</v>
      </c>
      <c r="G5" s="21">
        <v>10515.7</v>
      </c>
      <c r="H5" s="21">
        <v>14116.8</v>
      </c>
      <c r="I5" s="21" t="s">
        <v>192</v>
      </c>
      <c r="J5" s="21">
        <v>4110</v>
      </c>
      <c r="K5" s="21" t="s">
        <v>192</v>
      </c>
      <c r="L5" s="21">
        <f t="shared" si="0"/>
        <v>4110</v>
      </c>
      <c r="M5" s="22">
        <f t="shared" si="1"/>
        <v>10515.7</v>
      </c>
      <c r="N5" s="22">
        <f t="shared" si="2"/>
        <v>9.5095904219405267E-5</v>
      </c>
      <c r="O5" s="22">
        <f t="shared" si="3"/>
        <v>0.73575414879666978</v>
      </c>
      <c r="P5" s="22">
        <f t="shared" si="4"/>
        <v>1.9225404405625828E-5</v>
      </c>
      <c r="Q5" s="22">
        <f t="shared" si="5"/>
        <v>3.2980558561588322E-4</v>
      </c>
      <c r="R5" s="22">
        <f t="shared" si="6"/>
        <v>0.29440636881567439</v>
      </c>
    </row>
    <row r="6" spans="1:20" x14ac:dyDescent="0.3">
      <c r="A6" s="21" t="s">
        <v>13</v>
      </c>
      <c r="B6" s="21" t="s">
        <v>195</v>
      </c>
      <c r="C6" s="34">
        <v>71026.483227189703</v>
      </c>
      <c r="D6" s="18">
        <v>5905.5</v>
      </c>
      <c r="E6" s="21" t="s">
        <v>190</v>
      </c>
      <c r="F6" s="21">
        <v>6510.4</v>
      </c>
      <c r="G6" s="21">
        <v>5905.5</v>
      </c>
      <c r="H6" s="21">
        <v>9508.7999999999993</v>
      </c>
      <c r="I6" s="21">
        <v>25182</v>
      </c>
      <c r="J6" s="21">
        <v>11000</v>
      </c>
      <c r="K6" s="21" t="s">
        <v>192</v>
      </c>
      <c r="L6" s="21">
        <f t="shared" si="0"/>
        <v>36182</v>
      </c>
      <c r="M6" s="22">
        <f t="shared" si="1"/>
        <v>5905.5</v>
      </c>
      <c r="N6" s="22">
        <f t="shared" si="2"/>
        <v>1.6933367200067733E-4</v>
      </c>
      <c r="O6" s="22">
        <f t="shared" si="3"/>
        <v>0.68096676119514721</v>
      </c>
      <c r="P6" s="22">
        <f t="shared" si="4"/>
        <v>9.346880517911901E-5</v>
      </c>
      <c r="Q6" s="22">
        <f t="shared" si="5"/>
        <v>3.1847380395626057E-3</v>
      </c>
      <c r="R6" s="22">
        <f t="shared" si="6"/>
        <v>0.27337016653148144</v>
      </c>
    </row>
    <row r="7" spans="1:20" x14ac:dyDescent="0.3">
      <c r="A7" s="21" t="s">
        <v>63</v>
      </c>
      <c r="B7" s="21" t="s">
        <v>196</v>
      </c>
      <c r="C7" s="34">
        <v>67520.421895628097</v>
      </c>
      <c r="D7" s="18">
        <v>5630.9</v>
      </c>
      <c r="E7" s="21" t="s">
        <v>190</v>
      </c>
      <c r="F7" s="21">
        <v>6189</v>
      </c>
      <c r="G7" s="21">
        <v>5630.9</v>
      </c>
      <c r="H7" s="21">
        <v>9215.7999999999993</v>
      </c>
      <c r="I7" s="21">
        <v>74774</v>
      </c>
      <c r="J7" s="21">
        <v>75830</v>
      </c>
      <c r="K7" s="21" t="s">
        <v>192</v>
      </c>
      <c r="L7" s="21">
        <f t="shared" si="0"/>
        <v>150604</v>
      </c>
      <c r="M7" s="22">
        <f t="shared" si="1"/>
        <v>5630.9</v>
      </c>
      <c r="N7" s="22">
        <f t="shared" si="2"/>
        <v>1.7759150402244759E-4</v>
      </c>
      <c r="O7" s="22">
        <f t="shared" si="3"/>
        <v>0.64704221424332442</v>
      </c>
      <c r="P7" s="22">
        <f t="shared" si="4"/>
        <v>1.0172726378631785E-4</v>
      </c>
      <c r="Q7" s="22">
        <f t="shared" si="5"/>
        <v>1.3370167113068838E-2</v>
      </c>
      <c r="R7" s="22">
        <f t="shared" si="6"/>
        <v>0.26285845401038638</v>
      </c>
    </row>
    <row r="8" spans="1:20" x14ac:dyDescent="0.3">
      <c r="A8" s="21" t="s">
        <v>51</v>
      </c>
      <c r="B8" s="21" t="s">
        <v>197</v>
      </c>
      <c r="C8" s="34">
        <v>64603.9856308464</v>
      </c>
      <c r="D8" s="18">
        <v>13180.1</v>
      </c>
      <c r="E8" s="21" t="s">
        <v>11</v>
      </c>
      <c r="F8" s="21">
        <v>15947.2</v>
      </c>
      <c r="G8" s="21">
        <v>16111.3</v>
      </c>
      <c r="H8" s="21">
        <v>13180.1</v>
      </c>
      <c r="I8" s="21">
        <v>112037</v>
      </c>
      <c r="J8" s="21">
        <v>25200</v>
      </c>
      <c r="K8" s="21" t="s">
        <v>192</v>
      </c>
      <c r="L8" s="21">
        <f t="shared" si="0"/>
        <v>137237</v>
      </c>
      <c r="M8" s="22">
        <f t="shared" si="1"/>
        <v>13180.1</v>
      </c>
      <c r="N8" s="22">
        <f t="shared" si="2"/>
        <v>7.5871958482864318E-5</v>
      </c>
      <c r="O8" s="22">
        <f t="shared" si="3"/>
        <v>0.61882286220120897</v>
      </c>
      <c r="P8" s="22">
        <f t="shared" si="4"/>
        <v>0</v>
      </c>
      <c r="Q8" s="22">
        <f t="shared" si="5"/>
        <v>1.2180285530632263E-2</v>
      </c>
      <c r="R8" s="22">
        <f t="shared" si="6"/>
        <v>0.25118323053967329</v>
      </c>
    </row>
    <row r="9" spans="1:20" x14ac:dyDescent="0.3">
      <c r="A9" s="21" t="s">
        <v>87</v>
      </c>
      <c r="B9" s="21" t="s">
        <v>198</v>
      </c>
      <c r="C9" s="34">
        <v>58268.878765160101</v>
      </c>
      <c r="D9" s="18">
        <v>6567</v>
      </c>
      <c r="E9" s="21" t="s">
        <v>190</v>
      </c>
      <c r="F9" s="21">
        <v>7123.2</v>
      </c>
      <c r="G9" s="21">
        <v>6567</v>
      </c>
      <c r="H9" s="21">
        <v>10151.299999999999</v>
      </c>
      <c r="I9" s="21">
        <v>37622</v>
      </c>
      <c r="J9" s="21">
        <v>13840</v>
      </c>
      <c r="K9" s="21" t="s">
        <v>192</v>
      </c>
      <c r="L9" s="21">
        <f t="shared" si="0"/>
        <v>51462</v>
      </c>
      <c r="M9" s="22">
        <f t="shared" si="1"/>
        <v>6567</v>
      </c>
      <c r="N9" s="22">
        <f t="shared" si="2"/>
        <v>1.5227653418608191E-4</v>
      </c>
      <c r="O9" s="22">
        <f t="shared" si="3"/>
        <v>0.55752455336242257</v>
      </c>
      <c r="P9" s="22">
        <f t="shared" si="4"/>
        <v>7.6410373107873707E-5</v>
      </c>
      <c r="Q9" s="22">
        <f t="shared" si="5"/>
        <v>4.5449079041268957E-3</v>
      </c>
      <c r="R9" s="22">
        <f t="shared" si="6"/>
        <v>0.22439621682813948</v>
      </c>
    </row>
    <row r="10" spans="1:20" x14ac:dyDescent="0.3">
      <c r="A10" s="21" t="s">
        <v>70</v>
      </c>
      <c r="B10" s="21" t="s">
        <v>199</v>
      </c>
      <c r="C10" s="34">
        <v>56614.567949903598</v>
      </c>
      <c r="D10" s="18">
        <v>5674.1</v>
      </c>
      <c r="E10" s="21" t="s">
        <v>190</v>
      </c>
      <c r="F10" s="21">
        <v>6216.1</v>
      </c>
      <c r="G10" s="21">
        <v>5674.1</v>
      </c>
      <c r="H10" s="21">
        <v>9246.7000000000007</v>
      </c>
      <c r="I10" s="21">
        <v>38468</v>
      </c>
      <c r="J10" s="21">
        <v>18650</v>
      </c>
      <c r="K10" s="21" t="s">
        <v>192</v>
      </c>
      <c r="L10" s="21">
        <f t="shared" si="0"/>
        <v>57118</v>
      </c>
      <c r="M10" s="22">
        <f t="shared" si="1"/>
        <v>5674.1</v>
      </c>
      <c r="N10" s="22">
        <f t="shared" si="2"/>
        <v>1.762394036058582E-4</v>
      </c>
      <c r="O10" s="22">
        <f t="shared" si="3"/>
        <v>0.54151749027431606</v>
      </c>
      <c r="P10" s="22">
        <f t="shared" si="4"/>
        <v>1.0037506077543776E-4</v>
      </c>
      <c r="Q10" s="22">
        <f t="shared" si="5"/>
        <v>5.0483843932614264E-3</v>
      </c>
      <c r="R10" s="22">
        <f t="shared" si="6"/>
        <v>0.21815162394593748</v>
      </c>
    </row>
    <row r="11" spans="1:20" x14ac:dyDescent="0.3">
      <c r="A11" s="21" t="s">
        <v>54</v>
      </c>
      <c r="B11" s="21" t="s">
        <v>200</v>
      </c>
      <c r="C11" s="34">
        <v>56103.732318255497</v>
      </c>
      <c r="D11" s="18">
        <v>6127.7</v>
      </c>
      <c r="E11" s="21" t="s">
        <v>190</v>
      </c>
      <c r="F11" s="21">
        <v>6709.4</v>
      </c>
      <c r="G11" s="21">
        <v>6127.7</v>
      </c>
      <c r="H11" s="21">
        <v>9725.9</v>
      </c>
      <c r="I11" s="21">
        <v>519159</v>
      </c>
      <c r="J11" s="21">
        <v>126470</v>
      </c>
      <c r="K11" s="21">
        <v>6860</v>
      </c>
      <c r="L11" s="21">
        <f t="shared" si="0"/>
        <v>652489</v>
      </c>
      <c r="M11" s="22">
        <f t="shared" si="1"/>
        <v>6127.7</v>
      </c>
      <c r="N11" s="22">
        <f t="shared" si="2"/>
        <v>1.6319336782153173E-4</v>
      </c>
      <c r="O11" s="22">
        <f t="shared" si="3"/>
        <v>0.53657465963569984</v>
      </c>
      <c r="P11" s="22">
        <f t="shared" si="4"/>
        <v>8.7328035087719976E-5</v>
      </c>
      <c r="Q11" s="22">
        <f t="shared" si="5"/>
        <v>5.8046139133805019E-2</v>
      </c>
      <c r="R11" s="22">
        <f t="shared" si="6"/>
        <v>0.23206990400494779</v>
      </c>
    </row>
    <row r="12" spans="1:20" x14ac:dyDescent="0.3">
      <c r="A12" s="21" t="s">
        <v>21</v>
      </c>
      <c r="B12" s="21" t="s">
        <v>190</v>
      </c>
      <c r="C12" s="34">
        <v>54340.3477224733</v>
      </c>
      <c r="D12" s="18">
        <v>0</v>
      </c>
      <c r="E12" s="21" t="s">
        <v>190</v>
      </c>
      <c r="F12" s="21">
        <v>732.7</v>
      </c>
      <c r="G12" s="21">
        <v>0</v>
      </c>
      <c r="H12" s="21">
        <v>3603.7</v>
      </c>
      <c r="I12" s="21">
        <v>823843</v>
      </c>
      <c r="J12" s="21">
        <v>0</v>
      </c>
      <c r="K12" s="21">
        <v>12439</v>
      </c>
      <c r="L12" s="21">
        <f t="shared" si="0"/>
        <v>836282</v>
      </c>
      <c r="M12" s="22">
        <f t="shared" si="1"/>
        <v>1</v>
      </c>
      <c r="N12" s="22">
        <f t="shared" si="2"/>
        <v>1</v>
      </c>
      <c r="O12" s="22">
        <f t="shared" si="3"/>
        <v>0.51951220183577052</v>
      </c>
      <c r="P12" s="22">
        <f t="shared" si="4"/>
        <v>1</v>
      </c>
      <c r="Q12" s="22">
        <f t="shared" si="5"/>
        <v>7.4406721589162644E-2</v>
      </c>
      <c r="R12" s="22">
        <f t="shared" si="6"/>
        <v>0.53012689721105699</v>
      </c>
    </row>
    <row r="13" spans="1:20" x14ac:dyDescent="0.3">
      <c r="A13" s="21" t="s">
        <v>41</v>
      </c>
      <c r="B13" s="21" t="s">
        <v>201</v>
      </c>
      <c r="C13" s="34">
        <v>53246.367614510898</v>
      </c>
      <c r="D13" s="18">
        <v>4993</v>
      </c>
      <c r="E13" s="21" t="s">
        <v>190</v>
      </c>
      <c r="F13" s="21">
        <v>5569.7</v>
      </c>
      <c r="G13" s="21">
        <v>4993</v>
      </c>
      <c r="H13" s="21">
        <v>8587.9</v>
      </c>
      <c r="I13" s="21">
        <v>53356</v>
      </c>
      <c r="J13" s="21" t="s">
        <v>192</v>
      </c>
      <c r="K13" s="21">
        <v>4030</v>
      </c>
      <c r="L13" s="21">
        <f t="shared" si="0"/>
        <v>57386</v>
      </c>
      <c r="M13" s="22">
        <f t="shared" si="1"/>
        <v>4993</v>
      </c>
      <c r="N13" s="22">
        <f t="shared" si="2"/>
        <v>2.002803925495694E-4</v>
      </c>
      <c r="O13" s="22">
        <f t="shared" si="3"/>
        <v>0.50892688229134575</v>
      </c>
      <c r="P13" s="22">
        <f t="shared" si="4"/>
        <v>1.2441787389446773E-4</v>
      </c>
      <c r="Q13" s="22">
        <f t="shared" si="5"/>
        <v>5.0722407757027377E-3</v>
      </c>
      <c r="R13" s="22">
        <f t="shared" si="6"/>
        <v>0.20512975051141746</v>
      </c>
    </row>
    <row r="14" spans="1:20" x14ac:dyDescent="0.3">
      <c r="A14" s="21" t="s">
        <v>95</v>
      </c>
      <c r="B14" s="21" t="s">
        <v>202</v>
      </c>
      <c r="C14" s="34">
        <v>53246.367614510898</v>
      </c>
      <c r="D14" s="18">
        <v>5361</v>
      </c>
      <c r="E14" s="21" t="s">
        <v>190</v>
      </c>
      <c r="F14" s="21">
        <v>5897.6</v>
      </c>
      <c r="G14" s="21">
        <v>5361</v>
      </c>
      <c r="H14" s="21">
        <v>8928.7000000000007</v>
      </c>
      <c r="I14" s="21">
        <v>298535</v>
      </c>
      <c r="J14" s="21">
        <v>464135</v>
      </c>
      <c r="K14" s="21">
        <v>4030</v>
      </c>
      <c r="L14" s="21">
        <f t="shared" si="0"/>
        <v>766700</v>
      </c>
      <c r="M14" s="22">
        <f t="shared" si="1"/>
        <v>5361</v>
      </c>
      <c r="N14" s="22">
        <f t="shared" si="2"/>
        <v>1.8653236336504383E-4</v>
      </c>
      <c r="O14" s="22">
        <f t="shared" si="3"/>
        <v>0.50892688229134575</v>
      </c>
      <c r="P14" s="22">
        <f t="shared" si="4"/>
        <v>1.1066880154089537E-4</v>
      </c>
      <c r="Q14" s="22">
        <f t="shared" si="5"/>
        <v>6.8212785756956343E-2</v>
      </c>
      <c r="R14" s="22">
        <f t="shared" si="6"/>
        <v>0.22406778928408749</v>
      </c>
    </row>
    <row r="15" spans="1:20" x14ac:dyDescent="0.3">
      <c r="A15" s="21" t="s">
        <v>73</v>
      </c>
      <c r="B15" s="21" t="s">
        <v>203</v>
      </c>
      <c r="C15" s="34">
        <v>49205.1792146792</v>
      </c>
      <c r="D15" s="18">
        <v>11103.7</v>
      </c>
      <c r="E15" s="21" t="s">
        <v>11</v>
      </c>
      <c r="F15" s="21">
        <v>14082.8</v>
      </c>
      <c r="G15" s="21">
        <v>14484.4</v>
      </c>
      <c r="H15" s="21">
        <v>11103.7</v>
      </c>
      <c r="I15" s="21" t="s">
        <v>192</v>
      </c>
      <c r="J15" s="21">
        <v>10675</v>
      </c>
      <c r="K15" s="21" t="s">
        <v>192</v>
      </c>
      <c r="L15" s="21">
        <f t="shared" si="0"/>
        <v>10675</v>
      </c>
      <c r="M15" s="22">
        <f t="shared" si="1"/>
        <v>11103.7</v>
      </c>
      <c r="N15" s="22">
        <f t="shared" si="2"/>
        <v>9.0060070066734507E-5</v>
      </c>
      <c r="O15" s="22">
        <f t="shared" si="3"/>
        <v>0.4698244614702618</v>
      </c>
      <c r="P15" s="22">
        <f t="shared" si="4"/>
        <v>1.4189188145364061E-5</v>
      </c>
      <c r="Q15" s="22">
        <f t="shared" si="5"/>
        <v>9.1419793907560618E-4</v>
      </c>
      <c r="R15" s="22">
        <f t="shared" si="6"/>
        <v>0.18820830072627101</v>
      </c>
    </row>
    <row r="16" spans="1:20" x14ac:dyDescent="0.3">
      <c r="A16" s="21" t="s">
        <v>80</v>
      </c>
      <c r="B16" s="21" t="s">
        <v>204</v>
      </c>
      <c r="C16" s="34">
        <v>46103.084085588402</v>
      </c>
      <c r="D16" s="18">
        <v>5648.7</v>
      </c>
      <c r="E16" s="21" t="s">
        <v>190</v>
      </c>
      <c r="F16" s="21">
        <v>6164.8</v>
      </c>
      <c r="G16" s="21">
        <v>5648.7</v>
      </c>
      <c r="H16" s="21">
        <v>9196.2000000000007</v>
      </c>
      <c r="I16" s="21">
        <v>179804</v>
      </c>
      <c r="J16" s="21">
        <v>121525</v>
      </c>
      <c r="K16" s="21">
        <v>9080</v>
      </c>
      <c r="L16" s="21">
        <f t="shared" si="0"/>
        <v>310409</v>
      </c>
      <c r="M16" s="22">
        <f t="shared" si="1"/>
        <v>5648.7</v>
      </c>
      <c r="N16" s="22">
        <f t="shared" si="2"/>
        <v>1.7703188344220794E-4</v>
      </c>
      <c r="O16" s="22">
        <f t="shared" si="3"/>
        <v>0.43980867968443982</v>
      </c>
      <c r="P16" s="22">
        <f t="shared" si="4"/>
        <v>1.0116760074334704E-4</v>
      </c>
      <c r="Q16" s="22">
        <f t="shared" si="5"/>
        <v>2.7595425307224364E-2</v>
      </c>
      <c r="R16" s="22">
        <f t="shared" si="6"/>
        <v>0.18423244974616623</v>
      </c>
    </row>
    <row r="17" spans="1:18" x14ac:dyDescent="0.3">
      <c r="A17" s="21" t="s">
        <v>22</v>
      </c>
      <c r="B17" s="21" t="s">
        <v>205</v>
      </c>
      <c r="C17" s="34">
        <v>40385.341395766904</v>
      </c>
      <c r="D17" s="18">
        <v>6728.8</v>
      </c>
      <c r="E17" s="21" t="s">
        <v>190</v>
      </c>
      <c r="F17" s="21">
        <v>7216.3</v>
      </c>
      <c r="G17" s="21">
        <v>6728.8</v>
      </c>
      <c r="H17" s="21">
        <v>10239.799999999999</v>
      </c>
      <c r="I17" s="21">
        <v>284510</v>
      </c>
      <c r="J17" s="21">
        <v>204065</v>
      </c>
      <c r="K17" s="21">
        <v>6619</v>
      </c>
      <c r="L17" s="21">
        <f t="shared" si="0"/>
        <v>495194</v>
      </c>
      <c r="M17" s="22">
        <f t="shared" si="1"/>
        <v>6728.8</v>
      </c>
      <c r="N17" s="22">
        <f t="shared" si="2"/>
        <v>1.4861490904767566E-4</v>
      </c>
      <c r="O17" s="22">
        <f t="shared" si="3"/>
        <v>0.38448396856397132</v>
      </c>
      <c r="P17" s="22">
        <f t="shared" si="4"/>
        <v>7.274847013371702E-5</v>
      </c>
      <c r="Q17" s="22">
        <f t="shared" si="5"/>
        <v>4.4044311984155801E-2</v>
      </c>
      <c r="R17" s="22">
        <f t="shared" si="6"/>
        <v>0.16702870556187538</v>
      </c>
    </row>
    <row r="18" spans="1:18" x14ac:dyDescent="0.3">
      <c r="A18" s="21" t="s">
        <v>12</v>
      </c>
      <c r="B18" s="21" t="s">
        <v>206</v>
      </c>
      <c r="C18" s="34">
        <v>36238.639908315003</v>
      </c>
      <c r="D18" s="18">
        <v>10511.9</v>
      </c>
      <c r="E18" s="21" t="s">
        <v>190</v>
      </c>
      <c r="F18" s="21">
        <v>11163.9</v>
      </c>
      <c r="G18" s="21">
        <v>10511.9</v>
      </c>
      <c r="H18" s="21">
        <v>12051.7</v>
      </c>
      <c r="I18" s="21">
        <v>1087657</v>
      </c>
      <c r="J18" s="21">
        <v>138355</v>
      </c>
      <c r="K18" s="21">
        <v>5339</v>
      </c>
      <c r="L18" s="21">
        <f t="shared" si="0"/>
        <v>1231351</v>
      </c>
      <c r="M18" s="22">
        <f t="shared" si="1"/>
        <v>10511.9</v>
      </c>
      <c r="N18" s="22">
        <f t="shared" si="2"/>
        <v>9.5130280919719553E-5</v>
      </c>
      <c r="O18" s="22">
        <f t="shared" si="3"/>
        <v>0.34436060619152858</v>
      </c>
      <c r="P18" s="22">
        <f t="shared" si="4"/>
        <v>1.92597837143656E-5</v>
      </c>
      <c r="Q18" s="22">
        <f t="shared" si="5"/>
        <v>0.10957432291269338</v>
      </c>
      <c r="R18" s="22">
        <f t="shared" si="6"/>
        <v>0.17062231728553376</v>
      </c>
    </row>
    <row r="19" spans="1:18" x14ac:dyDescent="0.3">
      <c r="A19" s="21" t="s">
        <v>75</v>
      </c>
      <c r="B19" s="21" t="s">
        <v>207</v>
      </c>
      <c r="C19" s="34">
        <v>35326.768306927799</v>
      </c>
      <c r="D19" s="18">
        <v>5690</v>
      </c>
      <c r="E19" s="21" t="s">
        <v>190</v>
      </c>
      <c r="F19" s="21">
        <v>6088.2</v>
      </c>
      <c r="G19" s="21">
        <v>5690</v>
      </c>
      <c r="H19" s="21">
        <v>9062.7000000000007</v>
      </c>
      <c r="I19" s="21">
        <v>136202</v>
      </c>
      <c r="J19" s="21">
        <v>11510</v>
      </c>
      <c r="K19" s="21">
        <v>20763</v>
      </c>
      <c r="L19" s="21">
        <f t="shared" si="0"/>
        <v>168475</v>
      </c>
      <c r="M19" s="22">
        <f t="shared" si="1"/>
        <v>5690</v>
      </c>
      <c r="N19" s="22">
        <f t="shared" si="2"/>
        <v>1.7574692442882251E-4</v>
      </c>
      <c r="O19" s="22">
        <f t="shared" si="3"/>
        <v>0.33553736323316435</v>
      </c>
      <c r="P19" s="22">
        <f t="shared" si="4"/>
        <v>9.9882544230207195E-5</v>
      </c>
      <c r="Q19" s="22">
        <f t="shared" si="5"/>
        <v>1.4960978346683263E-2</v>
      </c>
      <c r="R19" s="22">
        <f t="shared" si="6"/>
        <v>0.13873320356053978</v>
      </c>
    </row>
    <row r="20" spans="1:18" x14ac:dyDescent="0.3">
      <c r="A20" s="21" t="s">
        <v>77</v>
      </c>
      <c r="B20" s="21" t="s">
        <v>208</v>
      </c>
      <c r="C20" s="34">
        <v>35121.662868774198</v>
      </c>
      <c r="D20" s="18">
        <v>10295</v>
      </c>
      <c r="E20" s="21" t="s">
        <v>190</v>
      </c>
      <c r="F20" s="21">
        <v>10846.1</v>
      </c>
      <c r="G20" s="21">
        <v>10295</v>
      </c>
      <c r="H20" s="21">
        <v>13877.3</v>
      </c>
      <c r="I20" s="21">
        <v>59727</v>
      </c>
      <c r="J20" s="21">
        <v>29585</v>
      </c>
      <c r="K20" s="21" t="s">
        <v>192</v>
      </c>
      <c r="L20" s="21">
        <f t="shared" si="0"/>
        <v>89312</v>
      </c>
      <c r="M20" s="22">
        <f t="shared" si="1"/>
        <v>10295</v>
      </c>
      <c r="N20" s="22">
        <f t="shared" si="2"/>
        <v>9.7134531325886346E-5</v>
      </c>
      <c r="O20" s="22">
        <f t="shared" si="3"/>
        <v>0.33355276900941844</v>
      </c>
      <c r="P20" s="22">
        <f t="shared" si="4"/>
        <v>2.126418619847445E-5</v>
      </c>
      <c r="Q20" s="22">
        <f t="shared" si="5"/>
        <v>7.9141768422000894E-3</v>
      </c>
      <c r="R20" s="22">
        <f t="shared" si="6"/>
        <v>0.13580173991228695</v>
      </c>
    </row>
    <row r="21" spans="1:18" x14ac:dyDescent="0.3">
      <c r="A21" s="21" t="s">
        <v>64</v>
      </c>
      <c r="B21" s="21" t="s">
        <v>209</v>
      </c>
      <c r="C21" s="34">
        <v>32487.0778047567</v>
      </c>
      <c r="D21" s="18">
        <v>10319.299999999999</v>
      </c>
      <c r="E21" s="21" t="s">
        <v>190</v>
      </c>
      <c r="F21" s="21">
        <v>10901.1</v>
      </c>
      <c r="G21" s="21">
        <v>10319.299999999999</v>
      </c>
      <c r="H21" s="21">
        <v>11301.3</v>
      </c>
      <c r="I21" s="21">
        <v>342968</v>
      </c>
      <c r="J21" s="21">
        <v>30870</v>
      </c>
      <c r="K21" s="21">
        <v>5539</v>
      </c>
      <c r="L21" s="21">
        <f t="shared" si="0"/>
        <v>379377</v>
      </c>
      <c r="M21" s="22">
        <f t="shared" si="1"/>
        <v>10319.299999999999</v>
      </c>
      <c r="N21" s="22">
        <f t="shared" si="2"/>
        <v>9.69057978738868E-5</v>
      </c>
      <c r="O21" s="22">
        <f t="shared" si="3"/>
        <v>0.30806060094656718</v>
      </c>
      <c r="P21" s="22">
        <f t="shared" si="4"/>
        <v>2.1035435390703116E-5</v>
      </c>
      <c r="Q21" s="22">
        <f t="shared" si="5"/>
        <v>3.3734705099061402E-2</v>
      </c>
      <c r="R21" s="22">
        <f t="shared" si="6"/>
        <v>0.1333509625389625</v>
      </c>
    </row>
    <row r="22" spans="1:18" x14ac:dyDescent="0.3">
      <c r="A22" s="21" t="s">
        <v>90</v>
      </c>
      <c r="B22" s="21" t="s">
        <v>210</v>
      </c>
      <c r="C22" s="34">
        <v>29292.242104753001</v>
      </c>
      <c r="D22" s="18">
        <v>5387.2</v>
      </c>
      <c r="E22" s="21" t="s">
        <v>190</v>
      </c>
      <c r="F22" s="21">
        <v>5737.2</v>
      </c>
      <c r="G22" s="21">
        <v>5387.2</v>
      </c>
      <c r="H22" s="21">
        <v>8672</v>
      </c>
      <c r="I22" s="21">
        <v>150049</v>
      </c>
      <c r="J22" s="21">
        <v>128795</v>
      </c>
      <c r="K22" s="21" t="s">
        <v>192</v>
      </c>
      <c r="L22" s="21">
        <f t="shared" si="0"/>
        <v>278844</v>
      </c>
      <c r="M22" s="22">
        <f t="shared" si="1"/>
        <v>5387.2</v>
      </c>
      <c r="N22" s="22">
        <f t="shared" si="2"/>
        <v>1.8562518562518563E-4</v>
      </c>
      <c r="O22" s="22">
        <f t="shared" si="3"/>
        <v>0.2771474641076685</v>
      </c>
      <c r="P22" s="22">
        <f t="shared" si="4"/>
        <v>1.0976155496646275E-4</v>
      </c>
      <c r="Q22" s="22">
        <f t="shared" si="5"/>
        <v>2.4785624143940865E-2</v>
      </c>
      <c r="R22" s="22">
        <f t="shared" si="6"/>
        <v>0.11832760135273961</v>
      </c>
    </row>
    <row r="23" spans="1:18" x14ac:dyDescent="0.3">
      <c r="A23" s="21" t="s">
        <v>96</v>
      </c>
      <c r="B23" s="21" t="s">
        <v>211</v>
      </c>
      <c r="C23" s="34">
        <v>24050.439793313501</v>
      </c>
      <c r="D23" s="18">
        <v>6697.7</v>
      </c>
      <c r="E23" s="21" t="s">
        <v>190</v>
      </c>
      <c r="F23" s="21">
        <v>7233.1</v>
      </c>
      <c r="G23" s="21">
        <v>6697.7</v>
      </c>
      <c r="H23" s="21">
        <v>10264.799999999999</v>
      </c>
      <c r="I23" s="21">
        <v>40180</v>
      </c>
      <c r="J23" s="21">
        <v>36675</v>
      </c>
      <c r="K23" s="21" t="s">
        <v>192</v>
      </c>
      <c r="L23" s="21">
        <f t="shared" si="0"/>
        <v>76855</v>
      </c>
      <c r="M23" s="22">
        <f t="shared" si="1"/>
        <v>6697.7</v>
      </c>
      <c r="N23" s="22">
        <f t="shared" si="2"/>
        <v>1.4930498529345894E-4</v>
      </c>
      <c r="O23" s="22">
        <f t="shared" si="3"/>
        <v>0.2264279381753031</v>
      </c>
      <c r="P23" s="22">
        <f t="shared" si="4"/>
        <v>7.3438598740909334E-5</v>
      </c>
      <c r="Q23" s="22">
        <f t="shared" si="5"/>
        <v>6.8053001404410991E-3</v>
      </c>
      <c r="R23" s="22">
        <f t="shared" si="6"/>
        <v>9.2634796891875856E-2</v>
      </c>
    </row>
    <row r="24" spans="1:18" x14ac:dyDescent="0.3">
      <c r="A24" s="21" t="s">
        <v>78</v>
      </c>
      <c r="B24" s="21" t="s">
        <v>212</v>
      </c>
      <c r="C24" s="34">
        <v>23906.513302940799</v>
      </c>
      <c r="D24" s="18">
        <v>7553.3</v>
      </c>
      <c r="E24" s="21" t="s">
        <v>11</v>
      </c>
      <c r="F24" s="21">
        <v>8483.1</v>
      </c>
      <c r="G24" s="21">
        <v>9145</v>
      </c>
      <c r="H24" s="21">
        <v>7553.3</v>
      </c>
      <c r="I24" s="21">
        <v>55742</v>
      </c>
      <c r="J24" s="21">
        <v>6435</v>
      </c>
      <c r="K24" s="21">
        <v>2706</v>
      </c>
      <c r="L24" s="21">
        <f t="shared" si="0"/>
        <v>64883</v>
      </c>
      <c r="M24" s="22">
        <f t="shared" si="1"/>
        <v>7553.3</v>
      </c>
      <c r="N24" s="22">
        <f t="shared" si="2"/>
        <v>1.3239246422093654E-4</v>
      </c>
      <c r="O24" s="22">
        <f t="shared" si="3"/>
        <v>0.22503530966184665</v>
      </c>
      <c r="P24" s="22">
        <f t="shared" si="4"/>
        <v>5.6524794384925051E-5</v>
      </c>
      <c r="Q24" s="22">
        <f t="shared" si="5"/>
        <v>5.7395963695926902E-3</v>
      </c>
      <c r="R24" s="22">
        <f t="shared" si="6"/>
        <v>9.1752960213931964E-2</v>
      </c>
    </row>
    <row r="25" spans="1:18" x14ac:dyDescent="0.3">
      <c r="A25" s="21" t="s">
        <v>55</v>
      </c>
      <c r="B25" s="21" t="s">
        <v>213</v>
      </c>
      <c r="C25" s="34">
        <v>22832.895395866701</v>
      </c>
      <c r="D25" s="18">
        <v>3085.3</v>
      </c>
      <c r="E25" s="21" t="s">
        <v>193</v>
      </c>
      <c r="F25" s="21">
        <v>3085.3</v>
      </c>
      <c r="G25" s="21">
        <v>3758.6</v>
      </c>
      <c r="H25" s="21">
        <v>3332.1</v>
      </c>
      <c r="I25" s="21" t="s">
        <v>192</v>
      </c>
      <c r="J25" s="21">
        <v>405</v>
      </c>
      <c r="K25" s="21" t="s">
        <v>192</v>
      </c>
      <c r="L25" s="21">
        <f t="shared" si="0"/>
        <v>405</v>
      </c>
      <c r="M25" s="22">
        <f t="shared" si="1"/>
        <v>3085.3</v>
      </c>
      <c r="N25" s="22">
        <f t="shared" si="2"/>
        <v>3.241175898616018E-4</v>
      </c>
      <c r="O25" s="22">
        <f t="shared" si="3"/>
        <v>0.21464701417797086</v>
      </c>
      <c r="P25" s="22">
        <f t="shared" si="4"/>
        <v>2.482644676901229E-4</v>
      </c>
      <c r="Q25" s="22">
        <f t="shared" si="5"/>
        <v>0</v>
      </c>
      <c r="R25" s="22">
        <f t="shared" si="6"/>
        <v>8.5933285011495386E-2</v>
      </c>
    </row>
    <row r="26" spans="1:18" x14ac:dyDescent="0.3">
      <c r="A26" s="21" t="s">
        <v>98</v>
      </c>
      <c r="B26" s="21" t="s">
        <v>214</v>
      </c>
      <c r="C26" s="34">
        <v>19161.218850159599</v>
      </c>
      <c r="D26" s="18">
        <v>2408.1</v>
      </c>
      <c r="E26" s="21" t="s">
        <v>11</v>
      </c>
      <c r="F26" s="21">
        <v>3338</v>
      </c>
      <c r="G26" s="21">
        <v>4069.7</v>
      </c>
      <c r="H26" s="21">
        <v>2408.1</v>
      </c>
      <c r="I26" s="21">
        <v>107163</v>
      </c>
      <c r="J26" s="21">
        <v>2800</v>
      </c>
      <c r="K26" s="21">
        <v>1916</v>
      </c>
      <c r="L26" s="21">
        <f t="shared" si="0"/>
        <v>111879</v>
      </c>
      <c r="M26" s="22">
        <f t="shared" si="1"/>
        <v>2408.1</v>
      </c>
      <c r="N26" s="22">
        <f t="shared" si="2"/>
        <v>4.1526514679622942E-4</v>
      </c>
      <c r="O26" s="22">
        <f t="shared" si="3"/>
        <v>0.1791199792554905</v>
      </c>
      <c r="P26" s="22">
        <f t="shared" si="4"/>
        <v>3.3941894069314173E-4</v>
      </c>
      <c r="Q26" s="22">
        <f t="shared" si="5"/>
        <v>9.9230088666518133E-3</v>
      </c>
      <c r="R26" s="22">
        <f t="shared" si="6"/>
        <v>7.4726720044399689E-2</v>
      </c>
    </row>
    <row r="27" spans="1:18" x14ac:dyDescent="0.3">
      <c r="A27" s="21" t="s">
        <v>52</v>
      </c>
      <c r="B27" s="21" t="s">
        <v>215</v>
      </c>
      <c r="C27" s="34">
        <v>15892.715728724101</v>
      </c>
      <c r="D27" s="18">
        <v>8160.1</v>
      </c>
      <c r="E27" s="21" t="s">
        <v>190</v>
      </c>
      <c r="F27" s="21">
        <v>8724.2000000000007</v>
      </c>
      <c r="G27" s="21">
        <v>8160.1</v>
      </c>
      <c r="H27" s="21">
        <v>11750.9</v>
      </c>
      <c r="I27" s="21">
        <v>184010</v>
      </c>
      <c r="J27" s="21">
        <v>35270</v>
      </c>
      <c r="K27" s="21" t="s">
        <v>192</v>
      </c>
      <c r="L27" s="21">
        <f t="shared" si="0"/>
        <v>219280</v>
      </c>
      <c r="M27" s="22">
        <f t="shared" si="1"/>
        <v>8160.1</v>
      </c>
      <c r="N27" s="22">
        <f t="shared" si="2"/>
        <v>1.2254751780002695E-4</v>
      </c>
      <c r="O27" s="22">
        <f t="shared" si="3"/>
        <v>0.1474940386003307</v>
      </c>
      <c r="P27" s="22">
        <f t="shared" si="4"/>
        <v>4.6679100951972081E-5</v>
      </c>
      <c r="Q27" s="22">
        <f t="shared" si="5"/>
        <v>1.9483454130007138E-2</v>
      </c>
      <c r="R27" s="22">
        <f t="shared" si="6"/>
        <v>6.4856655409420011E-2</v>
      </c>
    </row>
    <row r="28" spans="1:18" x14ac:dyDescent="0.3">
      <c r="A28" s="21" t="s">
        <v>8</v>
      </c>
      <c r="B28" s="21" t="s">
        <v>11</v>
      </c>
      <c r="C28" s="34">
        <v>14185.781224852901</v>
      </c>
      <c r="D28" s="18">
        <v>0</v>
      </c>
      <c r="E28" s="21" t="s">
        <v>11</v>
      </c>
      <c r="F28" s="21">
        <v>3031.8</v>
      </c>
      <c r="G28" s="21">
        <v>3603.3</v>
      </c>
      <c r="H28" s="21">
        <v>0</v>
      </c>
      <c r="I28" s="21">
        <v>11143711</v>
      </c>
      <c r="J28" s="21">
        <v>90585</v>
      </c>
      <c r="K28" s="21" t="s">
        <v>192</v>
      </c>
      <c r="L28" s="21">
        <f t="shared" si="0"/>
        <v>11234296</v>
      </c>
      <c r="M28" s="22">
        <f t="shared" si="1"/>
        <v>1</v>
      </c>
      <c r="N28" s="22">
        <f t="shared" si="2"/>
        <v>1</v>
      </c>
      <c r="O28" s="22">
        <f t="shared" si="3"/>
        <v>0.13097779023953177</v>
      </c>
      <c r="P28" s="22">
        <f t="shared" si="4"/>
        <v>1</v>
      </c>
      <c r="Q28" s="22">
        <f t="shared" si="5"/>
        <v>1</v>
      </c>
      <c r="R28" s="22">
        <f t="shared" si="6"/>
        <v>0.65239111609581268</v>
      </c>
    </row>
    <row r="29" spans="1:18" x14ac:dyDescent="0.3">
      <c r="A29" s="21" t="s">
        <v>85</v>
      </c>
      <c r="B29" s="21" t="s">
        <v>216</v>
      </c>
      <c r="C29" s="34">
        <v>13969.7836603737</v>
      </c>
      <c r="D29" s="18">
        <v>7389.1</v>
      </c>
      <c r="E29" s="21" t="s">
        <v>11</v>
      </c>
      <c r="F29" s="21">
        <v>8395.7000000000007</v>
      </c>
      <c r="G29" s="21">
        <v>9066.7999999999993</v>
      </c>
      <c r="H29" s="21">
        <v>7389.1</v>
      </c>
      <c r="I29" s="21">
        <v>210909</v>
      </c>
      <c r="J29" s="21">
        <v>19530</v>
      </c>
      <c r="K29" s="21">
        <v>18693</v>
      </c>
      <c r="L29" s="21">
        <f t="shared" si="0"/>
        <v>249132</v>
      </c>
      <c r="M29" s="22">
        <f t="shared" si="1"/>
        <v>7389.1</v>
      </c>
      <c r="N29" s="22">
        <f t="shared" si="2"/>
        <v>1.3533447916525693E-4</v>
      </c>
      <c r="O29" s="22">
        <f t="shared" si="3"/>
        <v>0.12888780411986789</v>
      </c>
      <c r="P29" s="22">
        <f t="shared" si="4"/>
        <v>5.9467032562618304E-5</v>
      </c>
      <c r="Q29" s="22">
        <f t="shared" si="5"/>
        <v>2.2140770281641509E-2</v>
      </c>
      <c r="R29" s="22">
        <f t="shared" si="6"/>
        <v>5.8215192842208392E-2</v>
      </c>
    </row>
    <row r="30" spans="1:18" x14ac:dyDescent="0.3">
      <c r="A30" s="21" t="s">
        <v>36</v>
      </c>
      <c r="B30" s="21" t="s">
        <v>217</v>
      </c>
      <c r="C30" s="34">
        <v>10310.5488778166</v>
      </c>
      <c r="D30" s="18">
        <v>6796.2</v>
      </c>
      <c r="E30" s="21" t="s">
        <v>193</v>
      </c>
      <c r="F30" s="21">
        <v>6796.2</v>
      </c>
      <c r="G30" s="21">
        <v>7361.5</v>
      </c>
      <c r="H30" s="21">
        <v>6836.6</v>
      </c>
      <c r="I30" s="21">
        <v>725419</v>
      </c>
      <c r="J30" s="21">
        <v>48450</v>
      </c>
      <c r="K30" s="21">
        <v>8689</v>
      </c>
      <c r="L30" s="21">
        <f t="shared" si="0"/>
        <v>782558</v>
      </c>
      <c r="M30" s="22">
        <f t="shared" si="1"/>
        <v>6796.2</v>
      </c>
      <c r="N30" s="22">
        <f t="shared" si="2"/>
        <v>1.4714104940996439E-4</v>
      </c>
      <c r="O30" s="22">
        <f t="shared" si="3"/>
        <v>9.3481155333918042E-2</v>
      </c>
      <c r="P30" s="22">
        <f t="shared" si="4"/>
        <v>7.1274498662903514E-5</v>
      </c>
      <c r="Q30" s="22">
        <f t="shared" si="5"/>
        <v>6.9624407073203748E-2</v>
      </c>
      <c r="R30" s="22">
        <f t="shared" si="6"/>
        <v>5.8301166605127214E-2</v>
      </c>
    </row>
    <row r="31" spans="1:18" x14ac:dyDescent="0.3">
      <c r="A31" s="21" t="s">
        <v>93</v>
      </c>
      <c r="B31" s="21" t="s">
        <v>218</v>
      </c>
      <c r="C31" s="34">
        <v>7919.2088682534504</v>
      </c>
      <c r="D31" s="18">
        <v>3177.3</v>
      </c>
      <c r="E31" s="21" t="s">
        <v>11</v>
      </c>
      <c r="F31" s="21">
        <v>3826.7</v>
      </c>
      <c r="G31" s="21">
        <v>4542.1000000000004</v>
      </c>
      <c r="H31" s="21">
        <v>3177.3</v>
      </c>
      <c r="I31" s="21">
        <v>1153648</v>
      </c>
      <c r="J31" s="21">
        <v>80570</v>
      </c>
      <c r="K31" s="21">
        <v>36234</v>
      </c>
      <c r="L31" s="21">
        <f t="shared" si="0"/>
        <v>1270452</v>
      </c>
      <c r="M31" s="22">
        <f t="shared" si="1"/>
        <v>3177.3</v>
      </c>
      <c r="N31" s="22">
        <f t="shared" si="2"/>
        <v>3.1473263462688443E-4</v>
      </c>
      <c r="O31" s="22">
        <f t="shared" si="3"/>
        <v>7.0342619307206797E-2</v>
      </c>
      <c r="P31" s="22">
        <f t="shared" si="4"/>
        <v>2.3887880034644245E-4</v>
      </c>
      <c r="Q31" s="22">
        <f t="shared" si="5"/>
        <v>0.11305495130761016</v>
      </c>
      <c r="R31" s="22">
        <f t="shared" si="6"/>
        <v>6.2125196755269702E-2</v>
      </c>
    </row>
    <row r="32" spans="1:18" x14ac:dyDescent="0.3">
      <c r="A32" s="21" t="s">
        <v>59</v>
      </c>
      <c r="B32" s="21" t="s">
        <v>219</v>
      </c>
      <c r="C32" s="34">
        <v>6874.7057397660001</v>
      </c>
      <c r="D32" s="18">
        <v>3135.3</v>
      </c>
      <c r="E32" s="21" t="s">
        <v>11</v>
      </c>
      <c r="F32" s="21">
        <v>4353.3999999999996</v>
      </c>
      <c r="G32" s="21">
        <v>5082.7</v>
      </c>
      <c r="H32" s="21">
        <v>3135.3</v>
      </c>
      <c r="I32" s="21">
        <v>621915</v>
      </c>
      <c r="J32" s="21">
        <v>16320</v>
      </c>
      <c r="K32" s="21">
        <v>3995</v>
      </c>
      <c r="L32" s="21">
        <f t="shared" si="0"/>
        <v>642230</v>
      </c>
      <c r="M32" s="22">
        <f t="shared" si="1"/>
        <v>3135.3</v>
      </c>
      <c r="N32" s="22">
        <f t="shared" si="2"/>
        <v>3.1894874493668867E-4</v>
      </c>
      <c r="O32" s="22">
        <f t="shared" si="3"/>
        <v>6.0236037569825776E-2</v>
      </c>
      <c r="P32" s="22">
        <f t="shared" si="4"/>
        <v>2.4309523056506517E-4</v>
      </c>
      <c r="Q32" s="22">
        <f t="shared" si="5"/>
        <v>5.7132920374605732E-2</v>
      </c>
      <c r="R32" s="22">
        <f t="shared" si="6"/>
        <v>4.1307219709481549E-2</v>
      </c>
    </row>
    <row r="33" spans="1:18" x14ac:dyDescent="0.3">
      <c r="A33" s="21" t="s">
        <v>50</v>
      </c>
      <c r="B33" s="21" t="s">
        <v>220</v>
      </c>
      <c r="C33" s="34">
        <v>6416.0970897084499</v>
      </c>
      <c r="D33" s="18">
        <v>6696.8</v>
      </c>
      <c r="E33" s="21" t="s">
        <v>11</v>
      </c>
      <c r="F33" s="21">
        <v>7417.2</v>
      </c>
      <c r="G33" s="21">
        <v>8071.6</v>
      </c>
      <c r="H33" s="21">
        <v>6696.8</v>
      </c>
      <c r="I33" s="21" t="s">
        <v>192</v>
      </c>
      <c r="J33" s="21">
        <v>6085</v>
      </c>
      <c r="K33" s="21" t="s">
        <v>192</v>
      </c>
      <c r="L33" s="21">
        <f t="shared" si="0"/>
        <v>6085</v>
      </c>
      <c r="M33" s="22">
        <f t="shared" si="1"/>
        <v>6696.8</v>
      </c>
      <c r="N33" s="22">
        <f t="shared" si="2"/>
        <v>1.4932505077051725E-4</v>
      </c>
      <c r="O33" s="22">
        <f t="shared" si="3"/>
        <v>5.5798553678333258E-2</v>
      </c>
      <c r="P33" s="22">
        <f t="shared" si="4"/>
        <v>7.3458665740490202E-5</v>
      </c>
      <c r="Q33" s="22">
        <f t="shared" si="5"/>
        <v>5.0561288159196134E-4</v>
      </c>
      <c r="R33" s="22">
        <f t="shared" si="6"/>
        <v>2.2493142935533041E-2</v>
      </c>
    </row>
    <row r="34" spans="1:18" x14ac:dyDescent="0.3">
      <c r="A34" s="21" t="s">
        <v>9</v>
      </c>
      <c r="B34" s="21" t="s">
        <v>221</v>
      </c>
      <c r="C34" s="42">
        <v>6267.1868140930101</v>
      </c>
      <c r="D34" s="18">
        <v>13030.5</v>
      </c>
      <c r="E34" s="21" t="s">
        <v>193</v>
      </c>
      <c r="F34" s="21">
        <v>13030.5</v>
      </c>
      <c r="G34" s="21">
        <v>13060.9</v>
      </c>
      <c r="H34" s="21">
        <v>14595.7</v>
      </c>
      <c r="I34" s="21">
        <v>156094</v>
      </c>
      <c r="J34" s="21">
        <v>51590</v>
      </c>
      <c r="K34" s="21" t="s">
        <v>192</v>
      </c>
      <c r="L34" s="21">
        <f t="shared" si="0"/>
        <v>207684</v>
      </c>
      <c r="M34" s="22">
        <f t="shared" si="1"/>
        <v>13030.5</v>
      </c>
      <c r="N34" s="22">
        <f t="shared" si="2"/>
        <v>7.6743025977514296E-5</v>
      </c>
      <c r="O34" s="22">
        <f t="shared" si="3"/>
        <v>5.43577022045586E-2</v>
      </c>
      <c r="P34" s="22">
        <f t="shared" si="4"/>
        <v>8.7113358926149505E-7</v>
      </c>
      <c r="Q34" s="22">
        <f t="shared" si="5"/>
        <v>1.8451220507658479E-2</v>
      </c>
      <c r="R34" s="22">
        <f t="shared" si="6"/>
        <v>2.7278708374197762E-2</v>
      </c>
    </row>
    <row r="35" spans="1:18" x14ac:dyDescent="0.3">
      <c r="A35" s="15" t="s">
        <v>82</v>
      </c>
      <c r="B35" s="21" t="s">
        <v>222</v>
      </c>
      <c r="C35" s="41">
        <v>6073.61</v>
      </c>
      <c r="D35" s="18">
        <v>5652.9</v>
      </c>
      <c r="E35" s="21" t="s">
        <v>11</v>
      </c>
      <c r="F35" s="21">
        <v>6560</v>
      </c>
      <c r="G35" s="21">
        <v>7246</v>
      </c>
      <c r="H35" s="21">
        <v>5652.9</v>
      </c>
      <c r="I35" s="21">
        <v>90698</v>
      </c>
      <c r="J35" s="21">
        <v>3835</v>
      </c>
      <c r="K35" s="21">
        <v>2505</v>
      </c>
      <c r="L35" s="21">
        <f t="shared" si="0"/>
        <v>97038</v>
      </c>
      <c r="M35" s="22">
        <f t="shared" si="1"/>
        <v>5652.9</v>
      </c>
      <c r="N35" s="22">
        <f t="shared" si="2"/>
        <v>1.7690035203170055E-4</v>
      </c>
      <c r="O35" s="22">
        <f t="shared" si="3"/>
        <v>5.2484658610207777E-2</v>
      </c>
      <c r="P35" s="22">
        <f t="shared" si="4"/>
        <v>1.0103605935253671E-4</v>
      </c>
      <c r="Q35" s="22">
        <f t="shared" si="5"/>
        <v>8.6019171807880275E-3</v>
      </c>
      <c r="R35" s="22">
        <f t="shared" si="6"/>
        <v>2.3604749416125281E-2</v>
      </c>
    </row>
    <row r="36" spans="1:18" x14ac:dyDescent="0.3">
      <c r="A36" s="21" t="s">
        <v>86</v>
      </c>
      <c r="B36" s="21" t="s">
        <v>223</v>
      </c>
      <c r="C36" s="34">
        <v>5752.9907665146602</v>
      </c>
      <c r="D36" s="18">
        <v>6403.2</v>
      </c>
      <c r="E36" s="21" t="s">
        <v>190</v>
      </c>
      <c r="F36" s="21">
        <v>6794.6</v>
      </c>
      <c r="G36" s="21">
        <v>6403.2</v>
      </c>
      <c r="H36" s="21">
        <v>9755</v>
      </c>
      <c r="I36" s="21">
        <v>36031</v>
      </c>
      <c r="J36" s="21">
        <v>79660</v>
      </c>
      <c r="K36" s="21" t="s">
        <v>192</v>
      </c>
      <c r="L36" s="21">
        <f t="shared" si="0"/>
        <v>115691</v>
      </c>
      <c r="M36" s="22">
        <f t="shared" si="1"/>
        <v>6403.2</v>
      </c>
      <c r="N36" s="22">
        <f t="shared" si="2"/>
        <v>1.5617191404297852E-4</v>
      </c>
      <c r="O36" s="22">
        <f t="shared" si="3"/>
        <v>4.9382356279636087E-2</v>
      </c>
      <c r="P36" s="22">
        <f t="shared" si="4"/>
        <v>8.0306048537294748E-5</v>
      </c>
      <c r="Q36" s="22">
        <f t="shared" si="5"/>
        <v>1.0262339201973742E-2</v>
      </c>
      <c r="R36" s="22">
        <f t="shared" si="6"/>
        <v>2.285573608700775E-2</v>
      </c>
    </row>
    <row r="37" spans="1:18" x14ac:dyDescent="0.3">
      <c r="A37" s="21" t="s">
        <v>67</v>
      </c>
      <c r="B37" s="21" t="s">
        <v>224</v>
      </c>
      <c r="C37" s="34">
        <v>5389.47314453125</v>
      </c>
      <c r="D37" s="18">
        <v>7215.3</v>
      </c>
      <c r="E37" s="21" t="s">
        <v>190</v>
      </c>
      <c r="F37" s="21">
        <v>7832.7</v>
      </c>
      <c r="G37" s="21">
        <v>7215.3</v>
      </c>
      <c r="H37" s="21">
        <v>10816.9</v>
      </c>
      <c r="I37" s="21">
        <v>510016</v>
      </c>
      <c r="J37" s="21">
        <v>81135</v>
      </c>
      <c r="K37" s="21" t="s">
        <v>192</v>
      </c>
      <c r="L37" s="21">
        <f t="shared" si="0"/>
        <v>591151</v>
      </c>
      <c r="M37" s="22">
        <f t="shared" si="1"/>
        <v>7215.3</v>
      </c>
      <c r="N37" s="22">
        <f t="shared" si="2"/>
        <v>1.385943758402284E-4</v>
      </c>
      <c r="O37" s="22">
        <f t="shared" si="3"/>
        <v>4.5864970396001702E-2</v>
      </c>
      <c r="P37" s="22">
        <f t="shared" si="4"/>
        <v>6.2727176591102158E-5</v>
      </c>
      <c r="Q37" s="22">
        <f t="shared" si="5"/>
        <v>5.2586054110726192E-2</v>
      </c>
      <c r="R37" s="22">
        <f t="shared" si="6"/>
        <v>3.4140622544595864E-2</v>
      </c>
    </row>
    <row r="38" spans="1:18" x14ac:dyDescent="0.3">
      <c r="A38" s="21" t="s">
        <v>76</v>
      </c>
      <c r="B38" s="21" t="s">
        <v>225</v>
      </c>
      <c r="C38" s="34">
        <v>5192.4815732587804</v>
      </c>
      <c r="D38" s="18">
        <v>5837.2</v>
      </c>
      <c r="E38" s="21" t="s">
        <v>193</v>
      </c>
      <c r="F38" s="21">
        <v>5837.2</v>
      </c>
      <c r="G38" s="21">
        <v>5912.9</v>
      </c>
      <c r="H38" s="21">
        <v>7985.9</v>
      </c>
      <c r="I38" s="21">
        <v>47699</v>
      </c>
      <c r="J38" s="21">
        <v>250</v>
      </c>
      <c r="K38" s="21" t="s">
        <v>192</v>
      </c>
      <c r="L38" s="21">
        <f t="shared" si="0"/>
        <v>47949</v>
      </c>
      <c r="M38" s="22">
        <f t="shared" si="1"/>
        <v>5837.2</v>
      </c>
      <c r="N38" s="22">
        <f t="shared" si="2"/>
        <v>1.7131501404783116E-4</v>
      </c>
      <c r="O38" s="22">
        <f t="shared" si="3"/>
        <v>4.3958885711005709E-2</v>
      </c>
      <c r="P38" s="22">
        <f t="shared" si="4"/>
        <v>9.5450297565980946E-5</v>
      </c>
      <c r="Q38" s="22">
        <f t="shared" si="5"/>
        <v>4.2321934581704595E-3</v>
      </c>
      <c r="R38" s="22">
        <f t="shared" si="6"/>
        <v>1.8881847411123219E-2</v>
      </c>
    </row>
    <row r="39" spans="1:18" x14ac:dyDescent="0.3">
      <c r="A39" s="21" t="s">
        <v>72</v>
      </c>
      <c r="B39" s="21" t="s">
        <v>226</v>
      </c>
      <c r="C39" s="34">
        <v>5190.1695902482097</v>
      </c>
      <c r="D39" s="18">
        <v>9549.7999999999993</v>
      </c>
      <c r="E39" s="21" t="s">
        <v>190</v>
      </c>
      <c r="F39" s="21">
        <v>10175.799999999999</v>
      </c>
      <c r="G39" s="21">
        <v>9549.7999999999993</v>
      </c>
      <c r="H39" s="21">
        <v>13144.2</v>
      </c>
      <c r="I39" s="21">
        <v>420227</v>
      </c>
      <c r="J39" s="21">
        <v>182940</v>
      </c>
      <c r="K39" s="21" t="s">
        <v>192</v>
      </c>
      <c r="L39" s="21">
        <f t="shared" si="0"/>
        <v>603167</v>
      </c>
      <c r="M39" s="22">
        <f t="shared" si="1"/>
        <v>9549.7999999999993</v>
      </c>
      <c r="N39" s="22">
        <f t="shared" si="2"/>
        <v>1.0471423485308594E-4</v>
      </c>
      <c r="O39" s="22">
        <f t="shared" si="3"/>
        <v>4.3936515030981414E-2</v>
      </c>
      <c r="P39" s="22">
        <f t="shared" si="4"/>
        <v>2.8844464856261659E-5</v>
      </c>
      <c r="Q39" s="22">
        <f t="shared" si="5"/>
        <v>5.3655674601079895E-2</v>
      </c>
      <c r="R39" s="22">
        <f t="shared" si="6"/>
        <v>3.3679961732173413E-2</v>
      </c>
    </row>
    <row r="40" spans="1:18" x14ac:dyDescent="0.3">
      <c r="A40" s="21" t="s">
        <v>88</v>
      </c>
      <c r="B40" s="21" t="s">
        <v>227</v>
      </c>
      <c r="C40" s="34">
        <v>4618.0959249856696</v>
      </c>
      <c r="D40" s="18">
        <v>8999.9</v>
      </c>
      <c r="E40" s="21" t="s">
        <v>190</v>
      </c>
      <c r="F40" s="21">
        <v>9530.6</v>
      </c>
      <c r="G40" s="21">
        <v>8999.9</v>
      </c>
      <c r="H40" s="21">
        <v>12562</v>
      </c>
      <c r="I40" s="21">
        <v>91008</v>
      </c>
      <c r="J40" s="21">
        <v>17530</v>
      </c>
      <c r="K40" s="21" t="s">
        <v>192</v>
      </c>
      <c r="L40" s="21">
        <f t="shared" si="0"/>
        <v>108538</v>
      </c>
      <c r="M40" s="22">
        <f t="shared" si="1"/>
        <v>8999.9</v>
      </c>
      <c r="N40" s="22">
        <f t="shared" si="2"/>
        <v>1.1111234569272992E-4</v>
      </c>
      <c r="O40" s="22">
        <f t="shared" si="3"/>
        <v>3.8401146969277732E-2</v>
      </c>
      <c r="P40" s="22">
        <f t="shared" si="4"/>
        <v>3.5243061169939503E-5</v>
      </c>
      <c r="Q40" s="22">
        <f t="shared" si="5"/>
        <v>9.6256052333069629E-3</v>
      </c>
      <c r="R40" s="22">
        <f t="shared" si="6"/>
        <v>1.8258713276054165E-2</v>
      </c>
    </row>
    <row r="41" spans="1:18" x14ac:dyDescent="0.3">
      <c r="A41" s="21" t="s">
        <v>68</v>
      </c>
      <c r="B41" s="21" t="s">
        <v>228</v>
      </c>
      <c r="C41" s="34">
        <v>4181.1378930122901</v>
      </c>
      <c r="D41" s="18">
        <v>7058.6</v>
      </c>
      <c r="E41" s="21" t="s">
        <v>190</v>
      </c>
      <c r="F41" s="21">
        <v>7455.5</v>
      </c>
      <c r="G41" s="21">
        <v>7058.6</v>
      </c>
      <c r="H41" s="21">
        <v>10413.5</v>
      </c>
      <c r="I41" s="21" t="s">
        <v>192</v>
      </c>
      <c r="J41" s="21">
        <v>24425</v>
      </c>
      <c r="K41" s="21" t="s">
        <v>192</v>
      </c>
      <c r="L41" s="21">
        <f t="shared" si="0"/>
        <v>24425</v>
      </c>
      <c r="M41" s="22">
        <f t="shared" si="1"/>
        <v>7058.6</v>
      </c>
      <c r="N41" s="22">
        <f t="shared" si="2"/>
        <v>1.4167115291984246E-4</v>
      </c>
      <c r="O41" s="22">
        <f t="shared" si="3"/>
        <v>3.4173153825457131E-2</v>
      </c>
      <c r="P41" s="22">
        <f t="shared" si="4"/>
        <v>6.5804187129532039E-5</v>
      </c>
      <c r="Q41" s="22">
        <f t="shared" si="5"/>
        <v>2.1381727844786815E-3</v>
      </c>
      <c r="R41" s="22">
        <f t="shared" si="6"/>
        <v>1.4330454621665318E-2</v>
      </c>
    </row>
    <row r="42" spans="1:18" x14ac:dyDescent="0.3">
      <c r="A42" s="21" t="s">
        <v>37</v>
      </c>
      <c r="B42" s="21" t="s">
        <v>229</v>
      </c>
      <c r="C42" s="34">
        <v>4153.1943359375</v>
      </c>
      <c r="D42" s="18">
        <v>5841.3</v>
      </c>
      <c r="E42" s="21" t="s">
        <v>190</v>
      </c>
      <c r="F42" s="21">
        <v>6144.6</v>
      </c>
      <c r="G42" s="21">
        <v>5841.3</v>
      </c>
      <c r="H42" s="21">
        <v>9017.2999999999993</v>
      </c>
      <c r="I42" s="21">
        <v>97640</v>
      </c>
      <c r="J42" s="21">
        <v>81770</v>
      </c>
      <c r="K42" s="21" t="s">
        <v>192</v>
      </c>
      <c r="L42" s="21">
        <f t="shared" si="0"/>
        <v>179410</v>
      </c>
      <c r="M42" s="22">
        <f t="shared" si="1"/>
        <v>5841.3</v>
      </c>
      <c r="N42" s="22">
        <f t="shared" si="2"/>
        <v>1.7119476828788112E-4</v>
      </c>
      <c r="O42" s="22">
        <f t="shared" si="3"/>
        <v>3.3902772784072888E-2</v>
      </c>
      <c r="P42" s="22">
        <f t="shared" si="4"/>
        <v>9.5330042682057348E-5</v>
      </c>
      <c r="Q42" s="22">
        <f t="shared" si="5"/>
        <v>1.5934372160100182E-2</v>
      </c>
      <c r="R42" s="22">
        <f t="shared" si="6"/>
        <v>1.8370019774463828E-2</v>
      </c>
    </row>
    <row r="43" spans="1:18" x14ac:dyDescent="0.3">
      <c r="A43" s="21" t="s">
        <v>71</v>
      </c>
      <c r="B43" s="21" t="s">
        <v>230</v>
      </c>
      <c r="C43" s="34">
        <v>3338.4737139589502</v>
      </c>
      <c r="D43" s="18">
        <v>8856.7999999999993</v>
      </c>
      <c r="E43" s="21" t="s">
        <v>190</v>
      </c>
      <c r="F43" s="21">
        <v>9348.7999999999993</v>
      </c>
      <c r="G43" s="21">
        <v>8856.7999999999993</v>
      </c>
      <c r="H43" s="21">
        <v>12368.9</v>
      </c>
      <c r="I43" s="21">
        <v>225321</v>
      </c>
      <c r="J43" s="21">
        <v>73710</v>
      </c>
      <c r="K43" s="21" t="s">
        <v>192</v>
      </c>
      <c r="L43" s="21">
        <f t="shared" si="0"/>
        <v>299031</v>
      </c>
      <c r="M43" s="22">
        <f t="shared" si="1"/>
        <v>8856.7999999999993</v>
      </c>
      <c r="N43" s="22">
        <f t="shared" si="2"/>
        <v>1.1290759642308736E-4</v>
      </c>
      <c r="O43" s="22">
        <f t="shared" si="3"/>
        <v>2.6019559862461183E-2</v>
      </c>
      <c r="P43" s="22">
        <f t="shared" si="4"/>
        <v>3.7038448119821056E-5</v>
      </c>
      <c r="Q43" s="22">
        <f t="shared" si="5"/>
        <v>2.6582597249697366E-2</v>
      </c>
      <c r="R43" s="22">
        <f t="shared" si="6"/>
        <v>1.8393714654329631E-2</v>
      </c>
    </row>
    <row r="44" spans="1:18" x14ac:dyDescent="0.3">
      <c r="A44" s="21" t="s">
        <v>92</v>
      </c>
      <c r="B44" s="21" t="s">
        <v>231</v>
      </c>
      <c r="C44" s="34">
        <v>3161.7001063287498</v>
      </c>
      <c r="D44" s="18">
        <v>9762.2000000000007</v>
      </c>
      <c r="E44" s="21" t="s">
        <v>190</v>
      </c>
      <c r="F44" s="21">
        <v>10465</v>
      </c>
      <c r="G44" s="21">
        <v>9762.2000000000007</v>
      </c>
      <c r="H44" s="21">
        <v>13155.6</v>
      </c>
      <c r="I44" s="21">
        <v>81552</v>
      </c>
      <c r="J44" s="21">
        <v>7075</v>
      </c>
      <c r="K44" s="21" t="s">
        <v>192</v>
      </c>
      <c r="L44" s="21">
        <f t="shared" si="0"/>
        <v>88627</v>
      </c>
      <c r="M44" s="22">
        <f t="shared" si="1"/>
        <v>9762.2000000000007</v>
      </c>
      <c r="N44" s="22">
        <f t="shared" si="2"/>
        <v>1.0243592632808178E-4</v>
      </c>
      <c r="O44" s="22">
        <f t="shared" si="3"/>
        <v>2.4309103602637921E-2</v>
      </c>
      <c r="P44" s="22">
        <f t="shared" si="4"/>
        <v>2.6565983458411473E-5</v>
      </c>
      <c r="Q44" s="22">
        <f t="shared" si="5"/>
        <v>7.8532006408109176E-3</v>
      </c>
      <c r="R44" s="22">
        <f t="shared" si="6"/>
        <v>1.2087571428335969E-2</v>
      </c>
    </row>
    <row r="45" spans="1:18" x14ac:dyDescent="0.3">
      <c r="A45" s="21" t="s">
        <v>58</v>
      </c>
      <c r="B45" s="21" t="s">
        <v>232</v>
      </c>
      <c r="C45" s="34">
        <v>2727.8935220696999</v>
      </c>
      <c r="D45" s="18">
        <v>7943.3</v>
      </c>
      <c r="E45" s="21" t="s">
        <v>190</v>
      </c>
      <c r="F45" s="21">
        <v>7954.8</v>
      </c>
      <c r="G45" s="21">
        <v>7943.3</v>
      </c>
      <c r="H45" s="21">
        <v>10155.5</v>
      </c>
      <c r="I45" s="21">
        <v>33355</v>
      </c>
      <c r="J45" s="21">
        <v>18865</v>
      </c>
      <c r="K45" s="21" t="s">
        <v>192</v>
      </c>
      <c r="L45" s="21">
        <f t="shared" si="0"/>
        <v>52220</v>
      </c>
      <c r="M45" s="22">
        <f t="shared" si="1"/>
        <v>7943.3</v>
      </c>
      <c r="N45" s="22">
        <f t="shared" si="2"/>
        <v>1.2589226140269157E-4</v>
      </c>
      <c r="O45" s="22">
        <f t="shared" si="3"/>
        <v>2.0111603774775191E-2</v>
      </c>
      <c r="P45" s="22">
        <f t="shared" si="4"/>
        <v>5.0024098346140118E-5</v>
      </c>
      <c r="Q45" s="22">
        <f t="shared" si="5"/>
        <v>4.6123822992407528E-3</v>
      </c>
      <c r="R45" s="22">
        <f t="shared" si="6"/>
        <v>9.4433634291861447E-3</v>
      </c>
    </row>
    <row r="46" spans="1:18" x14ac:dyDescent="0.3">
      <c r="A46" s="21" t="s">
        <v>97</v>
      </c>
      <c r="B46" s="21" t="s">
        <v>233</v>
      </c>
      <c r="C46" s="34">
        <v>2390.7723765271498</v>
      </c>
      <c r="D46" s="18">
        <v>8437</v>
      </c>
      <c r="E46" s="21" t="s">
        <v>190</v>
      </c>
      <c r="F46" s="21">
        <v>8481.2000000000007</v>
      </c>
      <c r="G46" s="21">
        <v>8437</v>
      </c>
      <c r="H46" s="21">
        <v>10731.7</v>
      </c>
      <c r="I46" s="21">
        <v>222781</v>
      </c>
      <c r="J46" s="21">
        <v>25755</v>
      </c>
      <c r="K46" s="21" t="s">
        <v>192</v>
      </c>
      <c r="L46" s="21">
        <f t="shared" si="0"/>
        <v>248536</v>
      </c>
      <c r="M46" s="22">
        <f t="shared" si="1"/>
        <v>8437</v>
      </c>
      <c r="N46" s="22">
        <f t="shared" si="2"/>
        <v>1.1852554225435582E-4</v>
      </c>
      <c r="O46" s="22">
        <f t="shared" si="3"/>
        <v>1.6849629425536809E-2</v>
      </c>
      <c r="P46" s="22">
        <f t="shared" si="4"/>
        <v>4.265682022798485E-5</v>
      </c>
      <c r="Q46" s="22">
        <f t="shared" si="5"/>
        <v>2.2087716535615309E-2</v>
      </c>
      <c r="R46" s="22">
        <f t="shared" si="6"/>
        <v>1.3378963776967713E-2</v>
      </c>
    </row>
    <row r="47" spans="1:18" x14ac:dyDescent="0.3">
      <c r="A47" s="21" t="s">
        <v>40</v>
      </c>
      <c r="B47" s="21" t="s">
        <v>234</v>
      </c>
      <c r="C47" s="34">
        <v>2142.6233052678799</v>
      </c>
      <c r="D47" s="18">
        <v>2308.9</v>
      </c>
      <c r="E47" s="21" t="s">
        <v>193</v>
      </c>
      <c r="F47" s="21">
        <v>2308.9</v>
      </c>
      <c r="G47" s="21">
        <v>3004.3</v>
      </c>
      <c r="H47" s="21">
        <v>2816.1</v>
      </c>
      <c r="I47" s="21">
        <v>858650</v>
      </c>
      <c r="J47" s="21">
        <v>99945</v>
      </c>
      <c r="K47" s="21">
        <v>5895</v>
      </c>
      <c r="L47" s="21">
        <f t="shared" si="0"/>
        <v>964490</v>
      </c>
      <c r="M47" s="22">
        <f t="shared" si="1"/>
        <v>2308.9</v>
      </c>
      <c r="N47" s="22">
        <f t="shared" si="2"/>
        <v>4.3310667417384901E-4</v>
      </c>
      <c r="O47" s="22">
        <f t="shared" si="3"/>
        <v>1.4448546266151011E-2</v>
      </c>
      <c r="P47" s="22">
        <f t="shared" si="4"/>
        <v>3.5726182184509924E-4</v>
      </c>
      <c r="Q47" s="22">
        <f t="shared" si="5"/>
        <v>8.5819330096758101E-2</v>
      </c>
      <c r="R47" s="22">
        <f t="shared" si="6"/>
        <v>3.1632396082041367E-2</v>
      </c>
    </row>
    <row r="48" spans="1:18" x14ac:dyDescent="0.3">
      <c r="A48" s="21" t="s">
        <v>81</v>
      </c>
      <c r="B48" s="21" t="s">
        <v>235</v>
      </c>
      <c r="C48" s="34">
        <v>1773.2182992344799</v>
      </c>
      <c r="D48" s="18">
        <v>6370.8</v>
      </c>
      <c r="E48" s="21" t="s">
        <v>193</v>
      </c>
      <c r="F48" s="21">
        <v>6370.8</v>
      </c>
      <c r="G48" s="21">
        <v>6388.9</v>
      </c>
      <c r="H48" s="21">
        <v>8618.5</v>
      </c>
      <c r="I48" s="21">
        <v>42478</v>
      </c>
      <c r="J48" s="21">
        <v>10045</v>
      </c>
      <c r="K48" s="21" t="s">
        <v>192</v>
      </c>
      <c r="L48" s="21">
        <f t="shared" si="0"/>
        <v>52523</v>
      </c>
      <c r="M48" s="22">
        <f t="shared" si="1"/>
        <v>6370.8</v>
      </c>
      <c r="N48" s="22">
        <f t="shared" si="2"/>
        <v>1.5696615809631444E-4</v>
      </c>
      <c r="O48" s="22">
        <f t="shared" si="3"/>
        <v>1.0874194226554277E-2</v>
      </c>
      <c r="P48" s="22">
        <f t="shared" si="4"/>
        <v>8.1100352856054969E-5</v>
      </c>
      <c r="Q48" s="22">
        <f t="shared" si="5"/>
        <v>4.6393542540158171E-3</v>
      </c>
      <c r="R48" s="22">
        <f t="shared" si="6"/>
        <v>5.7658140726832736E-3</v>
      </c>
    </row>
    <row r="49" spans="1:18" x14ac:dyDescent="0.3">
      <c r="A49" s="21" t="s">
        <v>91</v>
      </c>
      <c r="B49" s="21" t="s">
        <v>236</v>
      </c>
      <c r="C49" s="34">
        <v>649.38333855672499</v>
      </c>
      <c r="D49" s="18">
        <v>10434.299999999999</v>
      </c>
      <c r="E49" s="21" t="s">
        <v>190</v>
      </c>
      <c r="F49" s="21">
        <v>10516.6</v>
      </c>
      <c r="G49" s="21">
        <v>10434.299999999999</v>
      </c>
      <c r="H49" s="21">
        <v>12728.1</v>
      </c>
      <c r="I49" s="21">
        <v>61093</v>
      </c>
      <c r="J49" s="21">
        <v>33110</v>
      </c>
      <c r="K49" s="21" t="s">
        <v>192</v>
      </c>
      <c r="L49" s="21">
        <f t="shared" si="0"/>
        <v>94203</v>
      </c>
      <c r="M49" s="22">
        <f t="shared" si="1"/>
        <v>10434.299999999999</v>
      </c>
      <c r="N49" s="22">
        <f t="shared" si="2"/>
        <v>9.5837765830002981E-5</v>
      </c>
      <c r="O49" s="22">
        <f t="shared" si="3"/>
        <v>0</v>
      </c>
      <c r="P49" s="22">
        <f t="shared" si="4"/>
        <v>1.9967322306987754E-5</v>
      </c>
      <c r="Q49" s="22">
        <f t="shared" si="5"/>
        <v>8.3495558217540119E-3</v>
      </c>
      <c r="R49" s="22">
        <f t="shared" si="6"/>
        <v>2.5108569432182996E-3</v>
      </c>
    </row>
  </sheetData>
  <sortState xmlns:xlrd2="http://schemas.microsoft.com/office/spreadsheetml/2017/richdata2" ref="A2:R49">
    <sortCondition descending="1" ref="C2:C4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163A-230B-4B70-B7AD-72A016BD8B63}">
  <dimension ref="A1:G25"/>
  <sheetViews>
    <sheetView workbookViewId="0">
      <selection activeCell="D13" sqref="D13"/>
    </sheetView>
  </sheetViews>
  <sheetFormatPr defaultColWidth="9" defaultRowHeight="15.75" customHeight="1" x14ac:dyDescent="0.3"/>
  <cols>
    <col min="1" max="1" width="15.19921875" style="17" customWidth="1"/>
    <col min="2" max="2" width="25.19921875" style="17" customWidth="1"/>
    <col min="3" max="3" width="14.69921875" style="17" customWidth="1"/>
    <col min="4" max="4" width="20.5" style="17" customWidth="1"/>
    <col min="5" max="5" width="22.19921875" style="17" customWidth="1"/>
    <col min="6" max="6" width="25" style="17" customWidth="1"/>
    <col min="7" max="7" width="19.69921875" style="17" customWidth="1"/>
    <col min="8" max="16384" width="9" style="17"/>
  </cols>
  <sheetData>
    <row r="1" spans="1:7" ht="27.6" x14ac:dyDescent="0.3">
      <c r="A1" s="11" t="s">
        <v>237</v>
      </c>
      <c r="B1" s="12" t="s">
        <v>238</v>
      </c>
      <c r="C1" s="12" t="s">
        <v>144</v>
      </c>
      <c r="D1" s="12" t="s">
        <v>239</v>
      </c>
      <c r="E1" s="11" t="s">
        <v>240</v>
      </c>
      <c r="F1" s="12" t="s">
        <v>241</v>
      </c>
      <c r="G1" s="12" t="s">
        <v>242</v>
      </c>
    </row>
    <row r="2" spans="1:7" ht="15.6" x14ac:dyDescent="0.3">
      <c r="A2" s="13" t="s">
        <v>92</v>
      </c>
      <c r="B2" s="36">
        <f>VLOOKUP(A2, GDP!A:C, 3, FALSE)</f>
        <v>3161.7001063287498</v>
      </c>
      <c r="C2" s="37" t="s">
        <v>151</v>
      </c>
      <c r="D2" s="16">
        <f>G2*(B2/F2)</f>
        <v>25708.228906043292</v>
      </c>
      <c r="E2" s="13" t="s">
        <v>72</v>
      </c>
      <c r="F2" s="36">
        <f>VLOOKUP(E2, GDP!A:C, 3, FALSE)</f>
        <v>5190.1695902482097</v>
      </c>
      <c r="G2" s="16">
        <f>VLOOKUP(E2,'Russia 2018 FIFA attendance'!B:D,3,FALSE)</f>
        <v>42202</v>
      </c>
    </row>
    <row r="3" spans="1:7" ht="15.6" x14ac:dyDescent="0.3">
      <c r="A3" s="13" t="s">
        <v>25</v>
      </c>
      <c r="B3" s="36">
        <f>VLOOKUP(A3, GDP!A:C, 3, FALSE)</f>
        <v>76688.694174317905</v>
      </c>
      <c r="C3" s="37" t="s">
        <v>151</v>
      </c>
      <c r="D3" s="16">
        <f>G3*(B3/F3)</f>
        <v>80403.590118495631</v>
      </c>
      <c r="E3" s="13" t="s">
        <v>77</v>
      </c>
      <c r="F3" s="36">
        <f>VLOOKUP(E3, GDP!A:C, 3, FALSE)</f>
        <v>35121.662868774198</v>
      </c>
      <c r="G3" s="16">
        <f>VLOOKUP(E3,'Russia 2018 FIFA attendance'!B:D,3,FALSE)</f>
        <v>36823</v>
      </c>
    </row>
    <row r="4" spans="1:7" ht="15.6" x14ac:dyDescent="0.3">
      <c r="A4" s="13" t="s">
        <v>88</v>
      </c>
      <c r="B4" s="36">
        <f>VLOOKUP(A4, GDP!A:C, 3, FALSE)</f>
        <v>4618.0959249856696</v>
      </c>
      <c r="C4" s="37" t="s">
        <v>151</v>
      </c>
      <c r="D4" s="16">
        <f t="shared" ref="D4:D25" si="0">G4*(B4/F4)</f>
        <v>4841.8022484048297</v>
      </c>
      <c r="E4" s="13" t="s">
        <v>77</v>
      </c>
      <c r="F4" s="36">
        <f>VLOOKUP(E4, GDP!A:C, 3, FALSE)</f>
        <v>35121.662868774198</v>
      </c>
      <c r="G4" s="16">
        <f>VLOOKUP(E4,'Russia 2018 FIFA attendance'!B:D,3,FALSE)</f>
        <v>36823</v>
      </c>
    </row>
    <row r="5" spans="1:7" ht="15.6" x14ac:dyDescent="0.3">
      <c r="A5" s="13" t="s">
        <v>82</v>
      </c>
      <c r="B5" s="36">
        <f>VLOOKUP(A5, GDP!A:C, 3, FALSE)</f>
        <v>6073.61</v>
      </c>
      <c r="C5" s="37" t="s">
        <v>151</v>
      </c>
      <c r="D5" s="16">
        <f t="shared" si="0"/>
        <v>49385.378408751007</v>
      </c>
      <c r="E5" s="13" t="s">
        <v>72</v>
      </c>
      <c r="F5" s="36">
        <f>VLOOKUP(E5, GDP!A:C, 3, FALSE)</f>
        <v>5190.1695902482097</v>
      </c>
      <c r="G5" s="16">
        <f>VLOOKUP(E5,'Russia 2018 FIFA attendance'!B:D,3,FALSE)</f>
        <v>42202</v>
      </c>
    </row>
    <row r="6" spans="1:7" ht="15.6" x14ac:dyDescent="0.3">
      <c r="A6" s="13" t="s">
        <v>86</v>
      </c>
      <c r="B6" s="36">
        <f>VLOOKUP(A6, GDP!A:C, 3, FALSE)</f>
        <v>5752.9907665146602</v>
      </c>
      <c r="C6" s="37" t="s">
        <v>148</v>
      </c>
      <c r="D6" s="16">
        <f t="shared" si="0"/>
        <v>56501.559833980726</v>
      </c>
      <c r="E6" s="13" t="s">
        <v>68</v>
      </c>
      <c r="F6" s="36">
        <f>VLOOKUP(E6, GDP!A:C, 3, FALSE)</f>
        <v>4181.1378930122901</v>
      </c>
      <c r="G6" s="16">
        <f>VLOOKUP(E6,'Russia 2018 FIFA attendance'!B:D,3,FALSE)</f>
        <v>41064</v>
      </c>
    </row>
    <row r="7" spans="1:7" ht="15.6" x14ac:dyDescent="0.3">
      <c r="A7" s="13" t="s">
        <v>58</v>
      </c>
      <c r="B7" s="36">
        <f>VLOOKUP(A7, GDP!A:C, 3, FALSE)</f>
        <v>2727.8935220696999</v>
      </c>
      <c r="C7" s="37" t="s">
        <v>148</v>
      </c>
      <c r="D7" s="16">
        <f t="shared" si="0"/>
        <v>64566.044220664713</v>
      </c>
      <c r="E7" s="13" t="s">
        <v>81</v>
      </c>
      <c r="F7" s="36">
        <f>VLOOKUP(E7, GDP!A:C, 3, FALSE)</f>
        <v>1773.2182992344799</v>
      </c>
      <c r="G7" s="16">
        <f>VLOOKUP(E7,'Russia 2018 FIFA attendance'!B:D,3,FALSE)</f>
        <v>41970</v>
      </c>
    </row>
    <row r="8" spans="1:7" ht="15.6" x14ac:dyDescent="0.3">
      <c r="A8" s="13" t="s">
        <v>9</v>
      </c>
      <c r="B8" s="36">
        <f>VLOOKUP(A8, GDP!A:C, 3, FALSE)</f>
        <v>6267.1868140930101</v>
      </c>
      <c r="C8" s="37" t="s">
        <v>148</v>
      </c>
      <c r="D8" s="16">
        <f t="shared" si="0"/>
        <v>50714.208434472785</v>
      </c>
      <c r="E8" s="13" t="s">
        <v>71</v>
      </c>
      <c r="F8" s="36">
        <f>VLOOKUP(E8, GDP!A:C, 3, FALSE)</f>
        <v>3338.4737139589502</v>
      </c>
      <c r="G8" s="16">
        <f>VLOOKUP(E8,'Russia 2018 FIFA attendance'!B:D,3,FALSE)</f>
        <v>27015</v>
      </c>
    </row>
    <row r="9" spans="1:7" ht="15.6" x14ac:dyDescent="0.3">
      <c r="A9" s="13" t="s">
        <v>76</v>
      </c>
      <c r="B9" s="36">
        <f>VLOOKUP(A9, GDP!A:C, 3, FALSE)</f>
        <v>5192.4815732587804</v>
      </c>
      <c r="C9" s="37" t="s">
        <v>148</v>
      </c>
      <c r="D9" s="16">
        <f t="shared" si="0"/>
        <v>122899.95638086603</v>
      </c>
      <c r="E9" s="13" t="s">
        <v>81</v>
      </c>
      <c r="F9" s="36">
        <f>VLOOKUP(E9, GDP!A:C, 3, FALSE)</f>
        <v>1773.2182992344799</v>
      </c>
      <c r="G9" s="16">
        <f>VLOOKUP(E9,'Russia 2018 FIFA attendance'!B:D,3,FALSE)</f>
        <v>41970</v>
      </c>
    </row>
    <row r="10" spans="1:7" ht="15.6" x14ac:dyDescent="0.3">
      <c r="A10" s="13" t="s">
        <v>97</v>
      </c>
      <c r="B10" s="36">
        <f>VLOOKUP(A10, GDP!A:C, 3, FALSE)</f>
        <v>2390.7723765271498</v>
      </c>
      <c r="C10" s="37" t="s">
        <v>148</v>
      </c>
      <c r="D10" s="16">
        <f t="shared" si="0"/>
        <v>56586.781608425088</v>
      </c>
      <c r="E10" s="13" t="s">
        <v>81</v>
      </c>
      <c r="F10" s="36">
        <f>VLOOKUP(E10, GDP!A:C, 3, FALSE)</f>
        <v>1773.2182992344799</v>
      </c>
      <c r="G10" s="16">
        <f>VLOOKUP(E10,'Russia 2018 FIFA attendance'!B:D,3,FALSE)</f>
        <v>41970</v>
      </c>
    </row>
    <row r="11" spans="1:7" ht="15.6" x14ac:dyDescent="0.3">
      <c r="A11" s="13" t="s">
        <v>91</v>
      </c>
      <c r="B11" s="36">
        <f>VLOOKUP(A11, GDP!A:C, 3, FALSE)</f>
        <v>649.38333855672499</v>
      </c>
      <c r="C11" s="37" t="s">
        <v>148</v>
      </c>
      <c r="D11" s="16">
        <f t="shared" si="0"/>
        <v>5254.8237291065388</v>
      </c>
      <c r="E11" s="13" t="s">
        <v>71</v>
      </c>
      <c r="F11" s="36">
        <f>VLOOKUP(E11, GDP!A:C, 3, FALSE)</f>
        <v>3338.4737139589502</v>
      </c>
      <c r="G11" s="16">
        <f>VLOOKUP(E11,'Russia 2018 FIFA attendance'!B:D,3,FALSE)</f>
        <v>27015</v>
      </c>
    </row>
    <row r="12" spans="1:7" ht="15.6" x14ac:dyDescent="0.3">
      <c r="A12" s="13" t="s">
        <v>109</v>
      </c>
      <c r="B12" s="36">
        <f>VLOOKUP(A12, GDP!A:C, 3, FALSE)</f>
        <v>84534.0407841548</v>
      </c>
      <c r="C12" s="37" t="s">
        <v>150</v>
      </c>
      <c r="D12" s="16">
        <f t="shared" si="0"/>
        <v>197012.7607402124</v>
      </c>
      <c r="E12" s="13" t="s">
        <v>8</v>
      </c>
      <c r="F12" s="36">
        <f>VLOOKUP(E12, GDP!A:C, 3, FALSE)</f>
        <v>14185.781224852901</v>
      </c>
      <c r="G12" s="16">
        <f>VLOOKUP(E12,'Russia 2018 FIFA attendance'!B:D,3,FALSE)</f>
        <v>33061</v>
      </c>
    </row>
    <row r="13" spans="1:7" ht="15.6" x14ac:dyDescent="0.3">
      <c r="A13" s="13" t="s">
        <v>21</v>
      </c>
      <c r="B13" s="36">
        <f>VLOOKUP(A13, GDP!A:C, 3, FALSE)</f>
        <v>54340.3477224733</v>
      </c>
      <c r="C13" s="37" t="s">
        <v>150</v>
      </c>
      <c r="D13" s="16">
        <f t="shared" si="0"/>
        <v>126644.15216732761</v>
      </c>
      <c r="E13" s="13" t="s">
        <v>8</v>
      </c>
      <c r="F13" s="36">
        <f>VLOOKUP(E13, GDP!A:C, 3, FALSE)</f>
        <v>14185.781224852901</v>
      </c>
      <c r="G13" s="16">
        <f>VLOOKUP(E13,'Russia 2018 FIFA attendance'!B:D,3,FALSE)</f>
        <v>33061</v>
      </c>
    </row>
    <row r="14" spans="1:7" ht="15.6" x14ac:dyDescent="0.3">
      <c r="A14" s="13" t="s">
        <v>55</v>
      </c>
      <c r="B14" s="36">
        <f>VLOOKUP(A14, GDP!A:C, 3, FALSE)</f>
        <v>22832.895395866701</v>
      </c>
      <c r="C14" s="37" t="s">
        <v>150</v>
      </c>
      <c r="D14" s="16">
        <f t="shared" si="0"/>
        <v>44290.139510958346</v>
      </c>
      <c r="E14" s="13" t="s">
        <v>98</v>
      </c>
      <c r="F14" s="36">
        <f>VLOOKUP(E14, GDP!A:C, 3, FALSE)</f>
        <v>19161.218850159599</v>
      </c>
      <c r="G14" s="16">
        <f>VLOOKUP(E14,'Russia 2018 FIFA attendance'!B:D,3,FALSE)</f>
        <v>37168</v>
      </c>
    </row>
    <row r="15" spans="1:7" ht="15.6" x14ac:dyDescent="0.3">
      <c r="A15" s="13" t="s">
        <v>40</v>
      </c>
      <c r="B15" s="36">
        <f>VLOOKUP(A15, GDP!A:C, 3, FALSE)</f>
        <v>2142.6233052678799</v>
      </c>
      <c r="C15" s="37" t="s">
        <v>150</v>
      </c>
      <c r="D15" s="16">
        <f t="shared" si="0"/>
        <v>4156.1564341473631</v>
      </c>
      <c r="E15" s="13" t="s">
        <v>98</v>
      </c>
      <c r="F15" s="36">
        <f>VLOOKUP(E15, GDP!A:C, 3, FALSE)</f>
        <v>19161.218850159599</v>
      </c>
      <c r="G15" s="16">
        <f>VLOOKUP(E15,'Russia 2018 FIFA attendance'!B:D,3,FALSE)</f>
        <v>37168</v>
      </c>
    </row>
    <row r="16" spans="1:7" ht="15.6" x14ac:dyDescent="0.3">
      <c r="A16" s="13" t="s">
        <v>59</v>
      </c>
      <c r="B16" s="36">
        <f>VLOOKUP(A16, GDP!A:C, 3, FALSE)</f>
        <v>6874.7057397660001</v>
      </c>
      <c r="C16" s="37" t="s">
        <v>147</v>
      </c>
      <c r="D16" s="16">
        <f t="shared" si="0"/>
        <v>36908.357147088806</v>
      </c>
      <c r="E16" s="13" t="s">
        <v>93</v>
      </c>
      <c r="F16" s="36">
        <f>VLOOKUP(E16, GDP!A:C, 3, FALSE)</f>
        <v>7919.2088682534504</v>
      </c>
      <c r="G16" s="16">
        <f>VLOOKUP(E16,'Russia 2018 FIFA attendance'!B:D,3,FALSE)</f>
        <v>42516</v>
      </c>
    </row>
    <row r="17" spans="1:7" ht="15.6" x14ac:dyDescent="0.3">
      <c r="A17" s="13" t="s">
        <v>50</v>
      </c>
      <c r="B17" s="36">
        <f>VLOOKUP(A17, GDP!A:C, 3, FALSE)</f>
        <v>6416.0970897084499</v>
      </c>
      <c r="C17" s="37" t="s">
        <v>147</v>
      </c>
      <c r="D17" s="16">
        <f t="shared" si="0"/>
        <v>29935.006773934725</v>
      </c>
      <c r="E17" s="13" t="s">
        <v>36</v>
      </c>
      <c r="F17" s="36">
        <f>VLOOKUP(E17, GDP!A:C, 3, FALSE)</f>
        <v>10310.5488778166</v>
      </c>
      <c r="G17" s="16">
        <f>VLOOKUP(E17,'Russia 2018 FIFA attendance'!B:D,3,FALSE)</f>
        <v>48105</v>
      </c>
    </row>
    <row r="18" spans="1:7" ht="15.6" x14ac:dyDescent="0.3">
      <c r="A18" s="13" t="s">
        <v>73</v>
      </c>
      <c r="B18" s="36">
        <f>VLOOKUP(A18, GDP!A:C, 3, FALSE)</f>
        <v>49205.1792146792</v>
      </c>
      <c r="C18" s="37" t="s">
        <v>156</v>
      </c>
      <c r="D18" s="16">
        <f t="shared" si="0"/>
        <v>33567.895886799713</v>
      </c>
      <c r="E18" s="13" t="s">
        <v>51</v>
      </c>
      <c r="F18" s="36">
        <f>VLOOKUP(E18, GDP!A:C, 3, FALSE)</f>
        <v>64603.9856308464</v>
      </c>
      <c r="G18" s="16">
        <f>VLOOKUP(E18,'Russia 2018 FIFA attendance'!B:D,3,FALSE)</f>
        <v>44073</v>
      </c>
    </row>
    <row r="19" spans="1:7" ht="15.6" x14ac:dyDescent="0.3">
      <c r="A19" s="13" t="s">
        <v>63</v>
      </c>
      <c r="B19" s="36">
        <f>VLOOKUP(A19, GDP!A:C, 3, FALSE)</f>
        <v>67520.421895628097</v>
      </c>
      <c r="C19" s="37" t="s">
        <v>146</v>
      </c>
      <c r="D19" s="16">
        <f t="shared" si="0"/>
        <v>57639.969859052195</v>
      </c>
      <c r="E19" s="13" t="s">
        <v>70</v>
      </c>
      <c r="F19" s="36">
        <f>VLOOKUP(E19, GDP!A:C, 3, FALSE)</f>
        <v>56614.567949903598</v>
      </c>
      <c r="G19" s="16">
        <f>VLOOKUP(E19,'Russia 2018 FIFA attendance'!B:D,3,FALSE)</f>
        <v>48330</v>
      </c>
    </row>
    <row r="20" spans="1:7" ht="15.6" x14ac:dyDescent="0.3">
      <c r="A20" s="13" t="s">
        <v>87</v>
      </c>
      <c r="B20" s="36">
        <f>VLOOKUP(A20, GDP!A:C, 3, FALSE)</f>
        <v>58268.878765160101</v>
      </c>
      <c r="C20" s="37" t="s">
        <v>146</v>
      </c>
      <c r="D20" s="16">
        <f t="shared" si="0"/>
        <v>63508.852626750988</v>
      </c>
      <c r="E20" s="13" t="s">
        <v>54</v>
      </c>
      <c r="F20" s="36">
        <f>VLOOKUP(E20, GDP!A:C, 3, FALSE)</f>
        <v>56103.732318255497</v>
      </c>
      <c r="G20" s="16">
        <f>VLOOKUP(E20,'Russia 2018 FIFA attendance'!B:D,3,FALSE)</f>
        <v>61149</v>
      </c>
    </row>
    <row r="21" spans="1:7" ht="15.6" x14ac:dyDescent="0.3">
      <c r="A21" s="13" t="s">
        <v>83</v>
      </c>
      <c r="B21" s="36">
        <f>VLOOKUP(A21, GDP!A:C, 3, FALSE)</f>
        <v>86785.433448917596</v>
      </c>
      <c r="C21" s="37" t="s">
        <v>146</v>
      </c>
      <c r="D21" s="16">
        <f t="shared" si="0"/>
        <v>72541.454459291155</v>
      </c>
      <c r="E21" s="13" t="s">
        <v>13</v>
      </c>
      <c r="F21" s="36">
        <f>VLOOKUP(E21, GDP!A:C, 3, FALSE)</f>
        <v>71026.483227189703</v>
      </c>
      <c r="G21" s="16">
        <f>VLOOKUP(E21,'Russia 2018 FIFA attendance'!B:D,3,FALSE)</f>
        <v>59369</v>
      </c>
    </row>
    <row r="22" spans="1:7" ht="15.6" x14ac:dyDescent="0.3">
      <c r="A22" s="13" t="s">
        <v>41</v>
      </c>
      <c r="B22" s="36">
        <f>VLOOKUP(A22, GDP!A:C, 3, FALSE)</f>
        <v>53246.367614510898</v>
      </c>
      <c r="C22" s="37" t="s">
        <v>146</v>
      </c>
      <c r="D22" s="16">
        <f t="shared" si="0"/>
        <v>38646</v>
      </c>
      <c r="E22" s="13" t="s">
        <v>95</v>
      </c>
      <c r="F22" s="36">
        <f>VLOOKUP(E22, GDP!A:C, 3, FALSE)</f>
        <v>53246.367614510898</v>
      </c>
      <c r="G22" s="16">
        <f>VLOOKUP(E22,'Russia 2018 FIFA attendance'!B:D,3,FALSE)</f>
        <v>38646</v>
      </c>
    </row>
    <row r="23" spans="1:7" ht="15.6" x14ac:dyDescent="0.3">
      <c r="A23" s="13" t="s">
        <v>22</v>
      </c>
      <c r="B23" s="36">
        <f>VLOOKUP(A23, GDP!A:C, 3, FALSE)</f>
        <v>40385.341395766904</v>
      </c>
      <c r="C23" s="37" t="s">
        <v>146</v>
      </c>
      <c r="D23" s="16">
        <f t="shared" si="0"/>
        <v>16821.952955891255</v>
      </c>
      <c r="E23" s="13" t="s">
        <v>26</v>
      </c>
      <c r="F23" s="36">
        <f>VLOOKUP(E23, GDP!A:C, 3, FALSE)</f>
        <v>103998.186685604</v>
      </c>
      <c r="G23" s="16">
        <f>VLOOKUP(E23,'Russia 2018 FIFA attendance'!B:D,3,FALSE)</f>
        <v>43319</v>
      </c>
    </row>
    <row r="24" spans="1:7" ht="15.6" x14ac:dyDescent="0.3">
      <c r="A24" s="13" t="s">
        <v>67</v>
      </c>
      <c r="B24" s="36">
        <f>VLOOKUP(A24, GDP!A:C, 3, FALSE)</f>
        <v>5389.47314453125</v>
      </c>
      <c r="C24" s="37" t="s">
        <v>146</v>
      </c>
      <c r="D24" s="16">
        <f t="shared" si="0"/>
        <v>11204.29688892157</v>
      </c>
      <c r="E24" s="13" t="s">
        <v>96</v>
      </c>
      <c r="F24" s="36">
        <f>VLOOKUP(E24, GDP!A:C, 3, FALSE)</f>
        <v>24050.439793313501</v>
      </c>
      <c r="G24" s="16">
        <f>VLOOKUP(E24,'Russia 2018 FIFA attendance'!B:D,3,FALSE)</f>
        <v>49999</v>
      </c>
    </row>
    <row r="25" spans="1:7" ht="15.6" x14ac:dyDescent="0.3">
      <c r="A25" s="13" t="s">
        <v>52</v>
      </c>
      <c r="B25" s="36">
        <f>VLOOKUP(A25, GDP!A:C, 3, FALSE)</f>
        <v>15892.715728724101</v>
      </c>
      <c r="C25" s="37" t="s">
        <v>146</v>
      </c>
      <c r="D25" s="16">
        <f t="shared" si="0"/>
        <v>33039.724036206455</v>
      </c>
      <c r="E25" s="13" t="s">
        <v>96</v>
      </c>
      <c r="F25" s="36">
        <f>VLOOKUP(E25, GDP!A:C, 3, FALSE)</f>
        <v>24050.439793313501</v>
      </c>
      <c r="G25" s="16">
        <f>VLOOKUP(E25,'Russia 2018 FIFA attendance'!B:D,3,FALSE)</f>
        <v>49999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18BC-BB35-4108-9C03-335FDB34ABA4}">
  <dimension ref="A1:H51"/>
  <sheetViews>
    <sheetView zoomScale="185" workbookViewId="0">
      <selection activeCell="D4" sqref="D4"/>
    </sheetView>
  </sheetViews>
  <sheetFormatPr defaultColWidth="9" defaultRowHeight="15" customHeight="1" x14ac:dyDescent="0.25"/>
  <cols>
    <col min="1" max="1" width="12.69921875" style="9" customWidth="1"/>
    <col min="2" max="2" width="28.796875" style="9" customWidth="1"/>
    <col min="3" max="3" width="21.796875" style="9" customWidth="1"/>
    <col min="4" max="4" width="19.69921875" style="9" customWidth="1"/>
    <col min="5" max="16384" width="9" style="9"/>
  </cols>
  <sheetData>
    <row r="1" spans="1:8" ht="21" customHeight="1" x14ac:dyDescent="0.25">
      <c r="A1" s="11" t="s">
        <v>243</v>
      </c>
      <c r="B1" s="12" t="s">
        <v>244</v>
      </c>
      <c r="C1" s="12" t="s">
        <v>245</v>
      </c>
      <c r="D1" s="12" t="s">
        <v>246</v>
      </c>
      <c r="E1" s="28"/>
      <c r="F1" s="28"/>
      <c r="G1" s="28"/>
      <c r="H1" s="28"/>
    </row>
    <row r="2" spans="1:8" ht="13.8" x14ac:dyDescent="0.25">
      <c r="A2" s="13" t="s">
        <v>109</v>
      </c>
      <c r="B2" s="16">
        <f>'Missing country attendance'!D12</f>
        <v>197012.7607402124</v>
      </c>
      <c r="C2" s="36">
        <f>B2/MAX($B$2:$B$49)</f>
        <v>1</v>
      </c>
      <c r="D2" s="36">
        <f>C2*59726*12%*91%</f>
        <v>6522.0792000000001</v>
      </c>
      <c r="E2" s="39"/>
      <c r="F2" s="39"/>
      <c r="G2" s="28"/>
      <c r="H2" s="28"/>
    </row>
    <row r="3" spans="1:8" ht="13.8" x14ac:dyDescent="0.25">
      <c r="A3" s="13" t="s">
        <v>21</v>
      </c>
      <c r="B3" s="16">
        <f>'Missing country attendance'!D13</f>
        <v>126644.15216732761</v>
      </c>
      <c r="C3" s="36">
        <f t="shared" ref="C3:C49" si="0">B3/MAX($B$2:$B$49)</f>
        <v>0.64282207757255283</v>
      </c>
      <c r="D3" s="36">
        <f t="shared" ref="D3:D49" si="1">C3*59726*12%*91%</f>
        <v>4192.5365014367335</v>
      </c>
      <c r="E3" s="39"/>
      <c r="F3" s="39"/>
      <c r="G3" s="28"/>
      <c r="H3" s="28"/>
    </row>
    <row r="4" spans="1:8" ht="13.8" x14ac:dyDescent="0.25">
      <c r="A4" s="13" t="s">
        <v>76</v>
      </c>
      <c r="B4" s="16">
        <f>'Missing country attendance'!D9</f>
        <v>122899.95638086603</v>
      </c>
      <c r="C4" s="36">
        <f t="shared" si="0"/>
        <v>0.62381723863524763</v>
      </c>
      <c r="D4" s="36">
        <f t="shared" si="1"/>
        <v>4068.5854367043844</v>
      </c>
      <c r="E4" s="39"/>
      <c r="F4" s="39"/>
      <c r="G4" s="28"/>
      <c r="H4" s="28"/>
    </row>
    <row r="5" spans="1:8" ht="13.8" x14ac:dyDescent="0.25">
      <c r="A5" s="13" t="s">
        <v>25</v>
      </c>
      <c r="B5" s="16">
        <f>'Missing country attendance'!D3</f>
        <v>80403.590118495631</v>
      </c>
      <c r="C5" s="36">
        <f t="shared" si="0"/>
        <v>0.40811361566837029</v>
      </c>
      <c r="D5" s="36">
        <f t="shared" si="1"/>
        <v>2661.7493239874721</v>
      </c>
      <c r="E5" s="39"/>
      <c r="F5" s="39"/>
      <c r="G5" s="28"/>
      <c r="H5" s="28"/>
    </row>
    <row r="6" spans="1:8" ht="13.8" x14ac:dyDescent="0.25">
      <c r="A6" s="13" t="s">
        <v>83</v>
      </c>
      <c r="B6" s="16">
        <f>'Missing country attendance'!D21</f>
        <v>72541.454459291155</v>
      </c>
      <c r="C6" s="36">
        <f t="shared" si="0"/>
        <v>0.36820688257318895</v>
      </c>
      <c r="D6" s="36">
        <f t="shared" si="1"/>
        <v>2401.4744501274386</v>
      </c>
      <c r="E6" s="39"/>
      <c r="F6" s="39"/>
      <c r="G6" s="28"/>
      <c r="H6" s="28"/>
    </row>
    <row r="7" spans="1:8" ht="13.8" x14ac:dyDescent="0.25">
      <c r="A7" s="13" t="s">
        <v>58</v>
      </c>
      <c r="B7" s="16">
        <f>'Missing country attendance'!D7</f>
        <v>64566.044220664713</v>
      </c>
      <c r="C7" s="36">
        <f t="shared" si="0"/>
        <v>0.32772518885618607</v>
      </c>
      <c r="D7" s="36">
        <f t="shared" si="1"/>
        <v>2137.4496375550034</v>
      </c>
      <c r="E7" s="39"/>
      <c r="F7" s="39"/>
      <c r="G7" s="28"/>
      <c r="H7" s="28"/>
    </row>
    <row r="8" spans="1:8" ht="13.8" x14ac:dyDescent="0.25">
      <c r="A8" s="13" t="s">
        <v>87</v>
      </c>
      <c r="B8" s="16">
        <f>'Missing country attendance'!D20</f>
        <v>63508.852626750988</v>
      </c>
      <c r="C8" s="36">
        <f t="shared" si="0"/>
        <v>0.3223590816561161</v>
      </c>
      <c r="D8" s="36">
        <f t="shared" si="1"/>
        <v>2102.4514614004561</v>
      </c>
      <c r="E8" s="39"/>
      <c r="F8" s="39"/>
      <c r="G8" s="28"/>
      <c r="H8" s="28"/>
    </row>
    <row r="9" spans="1:8" ht="13.8" x14ac:dyDescent="0.25">
      <c r="A9" s="13" t="s">
        <v>37</v>
      </c>
      <c r="B9" s="16">
        <f>'Russia 2018 FIFA attendance'!D2</f>
        <v>62548</v>
      </c>
      <c r="C9" s="36">
        <f t="shared" si="0"/>
        <v>0.31748197307116505</v>
      </c>
      <c r="D9" s="36">
        <f t="shared" si="1"/>
        <v>2070.6425729424059</v>
      </c>
      <c r="E9" s="39"/>
      <c r="F9" s="39"/>
      <c r="G9" s="28"/>
      <c r="H9" s="28"/>
    </row>
    <row r="10" spans="1:8" ht="13.8" x14ac:dyDescent="0.25">
      <c r="A10" s="13" t="s">
        <v>54</v>
      </c>
      <c r="B10" s="16">
        <f>'Russia 2018 FIFA attendance'!D3</f>
        <v>61149</v>
      </c>
      <c r="C10" s="36">
        <f t="shared" si="0"/>
        <v>0.31038091020222347</v>
      </c>
      <c r="D10" s="36">
        <f t="shared" si="1"/>
        <v>2024.3288785069894</v>
      </c>
      <c r="E10" s="39"/>
      <c r="F10" s="39"/>
      <c r="G10" s="28"/>
      <c r="H10" s="28"/>
    </row>
    <row r="11" spans="1:8" ht="13.8" x14ac:dyDescent="0.25">
      <c r="A11" s="13" t="s">
        <v>90</v>
      </c>
      <c r="B11" s="16">
        <f>'Russia 2018 FIFA attendance'!D4</f>
        <v>60939</v>
      </c>
      <c r="C11" s="36">
        <f t="shared" si="0"/>
        <v>0.30931498939988056</v>
      </c>
      <c r="D11" s="36">
        <f t="shared" si="1"/>
        <v>2017.3768586131814</v>
      </c>
      <c r="E11" s="39"/>
      <c r="F11" s="39"/>
      <c r="G11" s="28"/>
      <c r="H11" s="28"/>
    </row>
    <row r="12" spans="1:8" ht="13.8" x14ac:dyDescent="0.25">
      <c r="A12" s="13" t="s">
        <v>13</v>
      </c>
      <c r="B12" s="16">
        <f>'Russia 2018 FIFA attendance'!D5</f>
        <v>59369</v>
      </c>
      <c r="C12" s="36">
        <f t="shared" si="0"/>
        <v>0.30134596244903111</v>
      </c>
      <c r="D12" s="36">
        <f t="shared" si="1"/>
        <v>1965.4022336928065</v>
      </c>
      <c r="E12" s="39"/>
      <c r="F12" s="39"/>
      <c r="G12" s="28"/>
      <c r="H12" s="28"/>
    </row>
    <row r="13" spans="1:8" ht="13.8" x14ac:dyDescent="0.25">
      <c r="A13" s="13" t="s">
        <v>63</v>
      </c>
      <c r="B13" s="16">
        <f>'Missing country attendance'!D19</f>
        <v>57639.969859052195</v>
      </c>
      <c r="C13" s="36">
        <f t="shared" si="0"/>
        <v>0.29256972818658272</v>
      </c>
      <c r="D13" s="36">
        <f t="shared" si="1"/>
        <v>1908.1629387553646</v>
      </c>
      <c r="E13" s="39"/>
      <c r="F13" s="39"/>
      <c r="G13" s="28"/>
      <c r="H13" s="28"/>
    </row>
    <row r="14" spans="1:8" ht="13.8" x14ac:dyDescent="0.25">
      <c r="A14" s="13" t="s">
        <v>97</v>
      </c>
      <c r="B14" s="16">
        <f>'Missing country attendance'!D10</f>
        <v>56586.781608425088</v>
      </c>
      <c r="C14" s="36">
        <f t="shared" si="0"/>
        <v>0.2872239412097895</v>
      </c>
      <c r="D14" s="36">
        <f t="shared" si="1"/>
        <v>1873.2972927063909</v>
      </c>
      <c r="E14" s="39"/>
      <c r="F14" s="39"/>
      <c r="G14" s="28"/>
      <c r="H14" s="28"/>
    </row>
    <row r="15" spans="1:8" ht="13.8" x14ac:dyDescent="0.25">
      <c r="A15" s="24" t="s">
        <v>86</v>
      </c>
      <c r="B15" s="16">
        <f>'Missing country attendance'!D6</f>
        <v>56501.559833980726</v>
      </c>
      <c r="C15" s="36">
        <f t="shared" si="0"/>
        <v>0.28679137138982369</v>
      </c>
      <c r="D15" s="36">
        <f t="shared" si="1"/>
        <v>1870.4760380810444</v>
      </c>
      <c r="E15" s="39"/>
      <c r="F15" s="39"/>
      <c r="G15" s="28"/>
      <c r="H15" s="28"/>
    </row>
    <row r="16" spans="1:8" ht="13.8" x14ac:dyDescent="0.25">
      <c r="A16" s="13" t="s">
        <v>75</v>
      </c>
      <c r="B16" s="16">
        <f>'Russia 2018 FIFA attendance'!D6</f>
        <v>55992</v>
      </c>
      <c r="C16" s="36">
        <f t="shared" si="0"/>
        <v>0.28420494078468816</v>
      </c>
      <c r="D16" s="36">
        <f t="shared" si="1"/>
        <v>1853.6071328290463</v>
      </c>
      <c r="E16" s="39"/>
      <c r="F16" s="39"/>
      <c r="G16" s="28"/>
      <c r="H16" s="28"/>
    </row>
    <row r="17" spans="1:8" ht="13.8" x14ac:dyDescent="0.25">
      <c r="A17" s="13" t="s">
        <v>80</v>
      </c>
      <c r="B17" s="16">
        <f>'Russia 2018 FIFA attendance'!D7</f>
        <v>51848</v>
      </c>
      <c r="C17" s="36">
        <f t="shared" si="0"/>
        <v>0.26317077028512131</v>
      </c>
      <c r="D17" s="36">
        <f t="shared" si="1"/>
        <v>1716.4206069245677</v>
      </c>
      <c r="E17" s="39"/>
      <c r="F17" s="39"/>
      <c r="G17" s="28"/>
      <c r="H17" s="28"/>
    </row>
    <row r="18" spans="1:8" ht="13.8" x14ac:dyDescent="0.25">
      <c r="A18" s="13" t="s">
        <v>9</v>
      </c>
      <c r="B18" s="16">
        <f>'Missing country attendance'!D8</f>
        <v>50714.208434472785</v>
      </c>
      <c r="C18" s="36">
        <f t="shared" si="0"/>
        <v>0.25741585592694799</v>
      </c>
      <c r="D18" s="36">
        <f t="shared" si="1"/>
        <v>1678.8865996913441</v>
      </c>
      <c r="E18" s="39"/>
      <c r="F18" s="39"/>
      <c r="G18" s="28"/>
      <c r="H18" s="28"/>
    </row>
    <row r="19" spans="1:8" ht="13.8" x14ac:dyDescent="0.25">
      <c r="A19" s="13" t="s">
        <v>96</v>
      </c>
      <c r="B19" s="16">
        <f>'Russia 2018 FIFA attendance'!D8</f>
        <v>49999</v>
      </c>
      <c r="C19" s="36">
        <f t="shared" si="0"/>
        <v>0.25378559141115914</v>
      </c>
      <c r="D19" s="36">
        <f t="shared" si="1"/>
        <v>1655.2097270024196</v>
      </c>
      <c r="E19" s="39"/>
      <c r="F19" s="39"/>
      <c r="G19" s="28"/>
      <c r="H19" s="28"/>
    </row>
    <row r="20" spans="1:8" ht="13.8" x14ac:dyDescent="0.25">
      <c r="A20" s="13" t="s">
        <v>82</v>
      </c>
      <c r="B20" s="16">
        <f>'Missing country attendance'!D5</f>
        <v>49385.378408751007</v>
      </c>
      <c r="C20" s="36">
        <f t="shared" si="0"/>
        <v>0.25067096274983025</v>
      </c>
      <c r="D20" s="36">
        <f t="shared" si="1"/>
        <v>1634.8958721946426</v>
      </c>
      <c r="E20" s="39"/>
      <c r="F20" s="39"/>
      <c r="G20" s="28"/>
      <c r="H20" s="28"/>
    </row>
    <row r="21" spans="1:8" ht="13.8" x14ac:dyDescent="0.25">
      <c r="A21" s="13" t="s">
        <v>70</v>
      </c>
      <c r="B21" s="16">
        <f>'Russia 2018 FIFA attendance'!D9</f>
        <v>48330</v>
      </c>
      <c r="C21" s="36">
        <f t="shared" si="0"/>
        <v>0.24531405893920522</v>
      </c>
      <c r="D21" s="36">
        <f t="shared" si="1"/>
        <v>1599.9577212749643</v>
      </c>
      <c r="E21" s="39"/>
      <c r="F21" s="39"/>
      <c r="G21" s="28"/>
      <c r="H21" s="28"/>
    </row>
    <row r="22" spans="1:8" ht="13.8" x14ac:dyDescent="0.25">
      <c r="A22" s="13" t="s">
        <v>36</v>
      </c>
      <c r="B22" s="16">
        <f>'Russia 2018 FIFA attendance'!D10</f>
        <v>48105</v>
      </c>
      <c r="C22" s="36">
        <f t="shared" si="0"/>
        <v>0.24417200093669494</v>
      </c>
      <c r="D22" s="36">
        <f t="shared" si="1"/>
        <v>1592.5091285315984</v>
      </c>
      <c r="E22" s="39"/>
      <c r="F22" s="39"/>
      <c r="G22" s="28"/>
      <c r="H22" s="28"/>
    </row>
    <row r="23" spans="1:8" ht="13.8" x14ac:dyDescent="0.25">
      <c r="A23" s="13" t="s">
        <v>55</v>
      </c>
      <c r="B23" s="16">
        <f>'Missing country attendance'!D14</f>
        <v>44290.139510958346</v>
      </c>
      <c r="C23" s="36">
        <f t="shared" si="0"/>
        <v>0.22480848115904939</v>
      </c>
      <c r="D23" s="36">
        <f t="shared" si="1"/>
        <v>1466.218718951028</v>
      </c>
      <c r="E23" s="39"/>
      <c r="F23" s="39"/>
      <c r="G23" s="28"/>
      <c r="H23" s="28"/>
    </row>
    <row r="24" spans="1:8" ht="13.8" x14ac:dyDescent="0.25">
      <c r="A24" s="13" t="s">
        <v>51</v>
      </c>
      <c r="B24" s="16">
        <f>'Russia 2018 FIFA attendance'!D11</f>
        <v>44073</v>
      </c>
      <c r="C24" s="36">
        <f t="shared" si="0"/>
        <v>0.22370632153171097</v>
      </c>
      <c r="D24" s="36">
        <f t="shared" si="1"/>
        <v>1459.0303465704842</v>
      </c>
      <c r="E24" s="39"/>
      <c r="F24" s="39"/>
      <c r="G24" s="28"/>
      <c r="H24" s="28"/>
    </row>
    <row r="25" spans="1:8" ht="13.8" x14ac:dyDescent="0.25">
      <c r="A25" s="13" t="s">
        <v>85</v>
      </c>
      <c r="B25" s="16">
        <f>'Russia 2018 FIFA attendance'!D12</f>
        <v>43754</v>
      </c>
      <c r="C25" s="36">
        <f t="shared" si="0"/>
        <v>0.22208713707481864</v>
      </c>
      <c r="D25" s="36">
        <f t="shared" si="1"/>
        <v>1448.4698973032234</v>
      </c>
      <c r="E25" s="39"/>
      <c r="F25" s="39"/>
      <c r="G25" s="28"/>
      <c r="H25" s="28"/>
    </row>
    <row r="26" spans="1:8" ht="13.8" x14ac:dyDescent="0.25">
      <c r="A26" s="13" t="s">
        <v>26</v>
      </c>
      <c r="B26" s="16">
        <f>'Russia 2018 FIFA attendance'!D13</f>
        <v>43319</v>
      </c>
      <c r="C26" s="36">
        <f t="shared" si="0"/>
        <v>0.21987915826996546</v>
      </c>
      <c r="D26" s="36">
        <f t="shared" si="1"/>
        <v>1434.0692846660495</v>
      </c>
      <c r="E26" s="39"/>
      <c r="F26" s="39"/>
      <c r="G26" s="28"/>
      <c r="H26" s="28"/>
    </row>
    <row r="27" spans="1:8" ht="13.8" x14ac:dyDescent="0.25">
      <c r="A27" s="13" t="s">
        <v>78</v>
      </c>
      <c r="B27" s="16">
        <f>'Russia 2018 FIFA attendance'!D14</f>
        <v>43064</v>
      </c>
      <c r="C27" s="36">
        <f t="shared" si="0"/>
        <v>0.2185848258671205</v>
      </c>
      <c r="D27" s="36">
        <f t="shared" si="1"/>
        <v>1425.6275462235685</v>
      </c>
      <c r="E27" s="39"/>
      <c r="F27" s="39"/>
      <c r="G27" s="28"/>
      <c r="H27" s="28"/>
    </row>
    <row r="28" spans="1:8" ht="13.8" x14ac:dyDescent="0.25">
      <c r="A28" s="43" t="s">
        <v>12</v>
      </c>
      <c r="B28" s="16">
        <f>'Russia 2018 FIFA attendance'!D15</f>
        <v>42654</v>
      </c>
      <c r="C28" s="36">
        <f t="shared" si="0"/>
        <v>0.21650374239587958</v>
      </c>
      <c r="D28" s="36">
        <f t="shared" si="1"/>
        <v>1412.0545550023242</v>
      </c>
      <c r="E28" s="39"/>
      <c r="F28" s="39"/>
      <c r="G28" s="28"/>
      <c r="H28" s="28"/>
    </row>
    <row r="29" spans="1:8" ht="13.8" x14ac:dyDescent="0.25">
      <c r="A29" s="13" t="s">
        <v>93</v>
      </c>
      <c r="B29" s="16">
        <f>'Russia 2018 FIFA attendance'!D16</f>
        <v>42516</v>
      </c>
      <c r="C29" s="36">
        <f t="shared" si="0"/>
        <v>0.21580328015433994</v>
      </c>
      <c r="D29" s="36">
        <f t="shared" si="1"/>
        <v>1407.4860847863933</v>
      </c>
      <c r="E29" s="39"/>
      <c r="F29" s="39"/>
      <c r="G29" s="28"/>
      <c r="H29" s="28"/>
    </row>
    <row r="30" spans="1:8" ht="13.8" x14ac:dyDescent="0.25">
      <c r="A30" s="13" t="s">
        <v>72</v>
      </c>
      <c r="B30" s="16">
        <f>'Russia 2018 FIFA attendance'!D17</f>
        <v>42202</v>
      </c>
      <c r="C30" s="36">
        <f t="shared" si="0"/>
        <v>0.21420947476417004</v>
      </c>
      <c r="D30" s="36">
        <f t="shared" si="1"/>
        <v>1397.0911598023183</v>
      </c>
      <c r="E30" s="39"/>
      <c r="F30" s="39"/>
      <c r="G30" s="28"/>
      <c r="H30" s="28"/>
    </row>
    <row r="31" spans="1:8" ht="13.8" x14ac:dyDescent="0.25">
      <c r="A31" s="13" t="s">
        <v>81</v>
      </c>
      <c r="B31" s="16">
        <f>'Russia 2018 FIFA attendance'!D18</f>
        <v>41970</v>
      </c>
      <c r="C31" s="36">
        <f t="shared" si="0"/>
        <v>0.21303188606824836</v>
      </c>
      <c r="D31" s="36">
        <f t="shared" si="1"/>
        <v>1389.4108330624922</v>
      </c>
      <c r="E31" s="39"/>
      <c r="F31" s="39"/>
      <c r="G31" s="28"/>
      <c r="H31" s="28"/>
    </row>
    <row r="32" spans="1:8" ht="13.8" x14ac:dyDescent="0.25">
      <c r="A32" s="13" t="s">
        <v>68</v>
      </c>
      <c r="B32" s="16">
        <f>'Russia 2018 FIFA attendance'!D19</f>
        <v>41064</v>
      </c>
      <c r="C32" s="36">
        <f t="shared" si="0"/>
        <v>0.20843319917814035</v>
      </c>
      <c r="D32" s="36">
        <f t="shared" si="1"/>
        <v>1359.4178329492063</v>
      </c>
      <c r="E32" s="39"/>
      <c r="F32" s="39"/>
      <c r="G32" s="28"/>
      <c r="H32" s="28"/>
    </row>
    <row r="33" spans="1:8" ht="13.8" x14ac:dyDescent="0.25">
      <c r="A33" s="13" t="s">
        <v>95</v>
      </c>
      <c r="B33" s="16">
        <f>'Russia 2018 FIFA attendance'!D20</f>
        <v>38646</v>
      </c>
      <c r="C33" s="36">
        <f t="shared" si="0"/>
        <v>0.19615988251116334</v>
      </c>
      <c r="D33" s="36">
        <f t="shared" si="1"/>
        <v>1279.3702896005022</v>
      </c>
      <c r="E33" s="39"/>
      <c r="F33" s="39"/>
      <c r="G33" s="28"/>
      <c r="H33" s="28"/>
    </row>
    <row r="34" spans="1:8" ht="13.8" x14ac:dyDescent="0.25">
      <c r="A34" s="13" t="s">
        <v>41</v>
      </c>
      <c r="B34" s="16">
        <f>'Missing country attendance'!D22</f>
        <v>38646</v>
      </c>
      <c r="C34" s="36">
        <f t="shared" si="0"/>
        <v>0.19615988251116334</v>
      </c>
      <c r="D34" s="36">
        <f t="shared" si="1"/>
        <v>1279.3702896005022</v>
      </c>
      <c r="E34" s="39"/>
      <c r="F34" s="39"/>
      <c r="G34" s="28"/>
      <c r="H34" s="28"/>
    </row>
    <row r="35" spans="1:8" ht="13.8" x14ac:dyDescent="0.25">
      <c r="A35" s="13" t="s">
        <v>64</v>
      </c>
      <c r="B35" s="16">
        <f>'Russia 2018 FIFA attendance'!D21</f>
        <v>37381</v>
      </c>
      <c r="C35" s="36">
        <f t="shared" si="0"/>
        <v>0.18973897863038341</v>
      </c>
      <c r="D35" s="36">
        <f t="shared" si="1"/>
        <v>1237.4926459544681</v>
      </c>
      <c r="E35" s="39"/>
      <c r="F35" s="39"/>
      <c r="G35" s="28"/>
      <c r="H35" s="28"/>
    </row>
    <row r="36" spans="1:8" ht="13.8" x14ac:dyDescent="0.25">
      <c r="A36" s="13" t="s">
        <v>98</v>
      </c>
      <c r="B36" s="16">
        <f>'Russia 2018 FIFA attendance'!D22</f>
        <v>37168</v>
      </c>
      <c r="C36" s="36">
        <f t="shared" si="0"/>
        <v>0.18865783038800701</v>
      </c>
      <c r="D36" s="36">
        <f t="shared" si="1"/>
        <v>1230.4413114907484</v>
      </c>
      <c r="E36" s="39"/>
      <c r="F36" s="39"/>
      <c r="G36" s="28"/>
      <c r="H36" s="28"/>
    </row>
    <row r="37" spans="1:8" ht="13.8" x14ac:dyDescent="0.25">
      <c r="A37" s="13" t="s">
        <v>59</v>
      </c>
      <c r="B37" s="16">
        <f>'Missing country attendance'!D16</f>
        <v>36908.357147088806</v>
      </c>
      <c r="C37" s="36">
        <f t="shared" si="0"/>
        <v>0.18733993173039892</v>
      </c>
      <c r="D37" s="36">
        <f t="shared" si="1"/>
        <v>1221.8458720682547</v>
      </c>
      <c r="E37" s="39"/>
      <c r="F37" s="39"/>
      <c r="G37" s="28"/>
      <c r="H37" s="28"/>
    </row>
    <row r="38" spans="1:8" ht="13.8" x14ac:dyDescent="0.25">
      <c r="A38" s="13" t="s">
        <v>77</v>
      </c>
      <c r="B38" s="16">
        <f>'Russia 2018 FIFA attendance'!D23</f>
        <v>36823</v>
      </c>
      <c r="C38" s="36">
        <f t="shared" si="0"/>
        <v>0.18690667478415796</v>
      </c>
      <c r="D38" s="36">
        <f t="shared" si="1"/>
        <v>1219.020135950921</v>
      </c>
      <c r="E38" s="39"/>
      <c r="F38" s="39"/>
      <c r="G38" s="28"/>
      <c r="H38" s="28"/>
    </row>
    <row r="39" spans="1:8" ht="13.8" x14ac:dyDescent="0.25">
      <c r="A39" s="13" t="s">
        <v>73</v>
      </c>
      <c r="B39" s="16">
        <f>'Missing country attendance'!D18</f>
        <v>33567.895886799713</v>
      </c>
      <c r="C39" s="36">
        <f t="shared" si="0"/>
        <v>0.17038437388867142</v>
      </c>
      <c r="D39" s="36">
        <f t="shared" si="1"/>
        <v>1111.2603809443272</v>
      </c>
      <c r="E39" s="39"/>
      <c r="F39" s="39"/>
      <c r="G39" s="28"/>
      <c r="H39" s="28"/>
    </row>
    <row r="40" spans="1:8" ht="13.8" x14ac:dyDescent="0.25">
      <c r="A40" s="13" t="s">
        <v>8</v>
      </c>
      <c r="B40" s="16">
        <f>'Russia 2018 FIFA attendance'!D24</f>
        <v>33061</v>
      </c>
      <c r="C40" s="36">
        <f t="shared" si="0"/>
        <v>0.1678114649821863</v>
      </c>
      <c r="D40" s="36">
        <f t="shared" si="1"/>
        <v>1094.4796652818457</v>
      </c>
      <c r="E40" s="39"/>
      <c r="F40" s="39"/>
      <c r="G40" s="28"/>
      <c r="H40" s="28"/>
    </row>
    <row r="41" spans="1:8" ht="13.8" x14ac:dyDescent="0.25">
      <c r="A41" s="13" t="s">
        <v>52</v>
      </c>
      <c r="B41" s="16">
        <f>'Missing country attendance'!D25</f>
        <v>33039.724036206455</v>
      </c>
      <c r="C41" s="36">
        <f t="shared" si="0"/>
        <v>0.16770347216124612</v>
      </c>
      <c r="D41" s="36">
        <f t="shared" si="1"/>
        <v>1093.7753275506423</v>
      </c>
      <c r="E41" s="39"/>
      <c r="F41" s="39"/>
      <c r="G41" s="28"/>
      <c r="H41" s="28"/>
    </row>
    <row r="42" spans="1:8" ht="13.8" x14ac:dyDescent="0.25">
      <c r="A42" s="13" t="s">
        <v>50</v>
      </c>
      <c r="B42" s="16">
        <f>'Missing country attendance'!D17</f>
        <v>29935.006773934725</v>
      </c>
      <c r="C42" s="36">
        <f t="shared" si="0"/>
        <v>0.15194450685053859</v>
      </c>
      <c r="D42" s="36">
        <f t="shared" si="1"/>
        <v>990.99410768415544</v>
      </c>
      <c r="E42" s="39"/>
      <c r="F42" s="39"/>
      <c r="G42" s="28"/>
      <c r="H42" s="28"/>
    </row>
    <row r="43" spans="1:8" ht="13.8" x14ac:dyDescent="0.25">
      <c r="A43" s="13" t="s">
        <v>71</v>
      </c>
      <c r="B43" s="16">
        <f>'Russia 2018 FIFA attendance'!D25</f>
        <v>27015</v>
      </c>
      <c r="C43" s="36">
        <f t="shared" si="0"/>
        <v>0.13712309750139931</v>
      </c>
      <c r="D43" s="36">
        <f t="shared" si="1"/>
        <v>894.32770205344832</v>
      </c>
      <c r="E43" s="39"/>
      <c r="F43" s="39"/>
      <c r="G43" s="28"/>
      <c r="H43" s="28"/>
    </row>
    <row r="44" spans="1:8" ht="13.8" x14ac:dyDescent="0.25">
      <c r="A44" s="13" t="s">
        <v>92</v>
      </c>
      <c r="B44" s="16">
        <f>'Missing country attendance'!D2</f>
        <v>25708.228906043292</v>
      </c>
      <c r="C44" s="36">
        <f t="shared" si="0"/>
        <v>0.13049017134449997</v>
      </c>
      <c r="D44" s="36">
        <f t="shared" si="1"/>
        <v>851.06723233039929</v>
      </c>
      <c r="E44" s="39"/>
      <c r="F44" s="39"/>
      <c r="G44" s="28"/>
      <c r="H44" s="28"/>
    </row>
    <row r="45" spans="1:8" ht="13.8" x14ac:dyDescent="0.25">
      <c r="A45" s="13" t="s">
        <v>22</v>
      </c>
      <c r="B45" s="16">
        <f>'Missing country attendance'!D23</f>
        <v>16821.952955891255</v>
      </c>
      <c r="C45" s="36">
        <f t="shared" si="0"/>
        <v>8.5385093293897055E-2</v>
      </c>
      <c r="D45" s="36">
        <f t="shared" si="1"/>
        <v>556.88834096218545</v>
      </c>
      <c r="E45" s="39"/>
      <c r="F45" s="39"/>
      <c r="G45" s="28"/>
      <c r="H45" s="28"/>
    </row>
    <row r="46" spans="1:8" ht="13.8" x14ac:dyDescent="0.25">
      <c r="A46" s="13" t="s">
        <v>67</v>
      </c>
      <c r="B46" s="16">
        <f>'Missing country attendance'!D24</f>
        <v>11204.29688892157</v>
      </c>
      <c r="C46" s="36">
        <f t="shared" si="0"/>
        <v>5.6870919664416708E-2</v>
      </c>
      <c r="D46" s="36">
        <f t="shared" si="1"/>
        <v>370.91664222816314</v>
      </c>
      <c r="E46" s="39"/>
      <c r="F46" s="39"/>
      <c r="G46" s="28"/>
      <c r="H46" s="28"/>
    </row>
    <row r="47" spans="1:8" ht="13.8" x14ac:dyDescent="0.25">
      <c r="A47" s="13" t="s">
        <v>91</v>
      </c>
      <c r="B47" s="16">
        <f>'Missing country attendance'!D11</f>
        <v>5254.8237291065388</v>
      </c>
      <c r="C47" s="36">
        <f t="shared" si="0"/>
        <v>2.6672504407142056E-2</v>
      </c>
      <c r="D47" s="36">
        <f t="shared" si="1"/>
        <v>173.96018620572954</v>
      </c>
      <c r="E47" s="39"/>
      <c r="F47" s="39"/>
      <c r="G47" s="28"/>
      <c r="H47" s="28"/>
    </row>
    <row r="48" spans="1:8" ht="13.8" x14ac:dyDescent="0.25">
      <c r="A48" s="13" t="s">
        <v>88</v>
      </c>
      <c r="B48" s="16">
        <f>'Missing country attendance'!D4</f>
        <v>4841.8022484048297</v>
      </c>
      <c r="C48" s="36">
        <f t="shared" si="0"/>
        <v>2.4576084463835274E-2</v>
      </c>
      <c r="D48" s="36">
        <f t="shared" si="1"/>
        <v>160.28716929902319</v>
      </c>
      <c r="E48" s="39"/>
      <c r="F48" s="39"/>
      <c r="G48" s="28"/>
      <c r="H48" s="28"/>
    </row>
    <row r="49" spans="1:8" ht="13.8" x14ac:dyDescent="0.25">
      <c r="A49" s="13" t="s">
        <v>40</v>
      </c>
      <c r="B49" s="16">
        <f>'Missing country attendance'!D15</f>
        <v>4156.1564341473631</v>
      </c>
      <c r="C49" s="36">
        <f t="shared" si="0"/>
        <v>2.1095874290233463E-2</v>
      </c>
      <c r="D49" s="36">
        <f t="shared" si="1"/>
        <v>137.58896291414644</v>
      </c>
      <c r="E49" s="39"/>
      <c r="F49" s="39"/>
      <c r="G49" s="28"/>
      <c r="H49" s="28"/>
    </row>
    <row r="50" spans="1:8" ht="15" customHeight="1" x14ac:dyDescent="0.25">
      <c r="A50" s="28"/>
      <c r="B50" s="39"/>
      <c r="C50" s="39"/>
      <c r="D50" s="28"/>
      <c r="E50" s="28"/>
      <c r="F50" s="28"/>
      <c r="G50" s="28"/>
      <c r="H50" s="28"/>
    </row>
    <row r="51" spans="1:8" ht="15" customHeight="1" x14ac:dyDescent="0.25">
      <c r="A51" s="28"/>
      <c r="B51" s="28"/>
      <c r="C51" s="28"/>
      <c r="D51" s="28"/>
      <c r="E51" s="28"/>
      <c r="F51" s="28"/>
      <c r="G51" s="28"/>
      <c r="H51" s="28"/>
    </row>
  </sheetData>
  <sortState xmlns:xlrd2="http://schemas.microsoft.com/office/spreadsheetml/2017/richdata2" ref="A1:D51">
    <sortCondition descending="1" ref="D1:D5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613C-5250-4199-9C7C-B95284CE5928}">
  <dimension ref="A1:W49"/>
  <sheetViews>
    <sheetView topLeftCell="A27" zoomScale="150" workbookViewId="0">
      <selection activeCell="A41" sqref="A41"/>
    </sheetView>
  </sheetViews>
  <sheetFormatPr defaultColWidth="8.796875" defaultRowHeight="15.75" customHeight="1" x14ac:dyDescent="0.3"/>
  <cols>
    <col min="1" max="8" width="21.69921875" customWidth="1"/>
    <col min="9" max="9" width="30.796875" customWidth="1"/>
    <col min="10" max="20" width="21.69921875" customWidth="1"/>
    <col min="21" max="21" width="14.296875" customWidth="1"/>
    <col min="22" max="22" width="15.796875" customWidth="1"/>
    <col min="23" max="23" width="13.5" customWidth="1"/>
  </cols>
  <sheetData>
    <row r="1" spans="1:23" x14ac:dyDescent="0.3">
      <c r="A1" s="14" t="s">
        <v>102</v>
      </c>
      <c r="B1" s="14" t="s">
        <v>247</v>
      </c>
      <c r="C1" s="14" t="s">
        <v>107</v>
      </c>
      <c r="D1" s="14" t="s">
        <v>110</v>
      </c>
      <c r="E1" s="14" t="s">
        <v>112</v>
      </c>
      <c r="F1" s="14" t="s">
        <v>114</v>
      </c>
      <c r="G1" s="14" t="s">
        <v>116</v>
      </c>
      <c r="H1" s="14" t="s">
        <v>118</v>
      </c>
      <c r="I1" s="14" t="s">
        <v>120</v>
      </c>
      <c r="J1" s="14" t="s">
        <v>122</v>
      </c>
      <c r="K1" s="14" t="s">
        <v>124</v>
      </c>
      <c r="L1" s="14" t="s">
        <v>126</v>
      </c>
      <c r="M1" s="14" t="s">
        <v>128</v>
      </c>
      <c r="N1" s="14" t="s">
        <v>131</v>
      </c>
      <c r="O1" s="14" t="s">
        <v>133</v>
      </c>
      <c r="P1" s="14" t="s">
        <v>136</v>
      </c>
      <c r="Q1" s="14" t="s">
        <v>138</v>
      </c>
      <c r="R1" s="14" t="s">
        <v>141</v>
      </c>
      <c r="S1" s="14" t="s">
        <v>248</v>
      </c>
      <c r="T1" s="44" t="s">
        <v>249</v>
      </c>
      <c r="U1" s="45" t="s">
        <v>250</v>
      </c>
      <c r="V1" s="46" t="s">
        <v>251</v>
      </c>
      <c r="W1" s="14" t="s">
        <v>102</v>
      </c>
    </row>
    <row r="2" spans="1:23" x14ac:dyDescent="0.3">
      <c r="A2" s="15" t="s">
        <v>8</v>
      </c>
      <c r="B2" s="47">
        <f>VLOOKUP(A2, 'All attendance'!A:D, 4, FALSE)</f>
        <v>1094.4796652818457</v>
      </c>
      <c r="C2" s="48">
        <f>B2/Stadium!$G$2</f>
        <v>0.12755431120858862</v>
      </c>
      <c r="D2" s="48">
        <f>B2/Stadium!$G$3</f>
        <v>0.13773888296080669</v>
      </c>
      <c r="E2" s="48">
        <f>B2/Stadium!$G$4</f>
        <v>0.14293242573694503</v>
      </c>
      <c r="F2" s="48">
        <f>B2/Stadium!$G$5</f>
        <v>0.14390104174481061</v>
      </c>
      <c r="G2" s="48">
        <f>B2/Stadium!$G$6</f>
        <v>0.14443814842740496</v>
      </c>
      <c r="H2" s="48">
        <f>B2/Stadium!$G$7</f>
        <v>0.14672172208760023</v>
      </c>
      <c r="I2" s="48">
        <f>B2/Stadium!$G$8</f>
        <v>0.14845596488862972</v>
      </c>
      <c r="J2" s="48">
        <f>B2/Stadium!$G$9</f>
        <v>0.14874458397681961</v>
      </c>
      <c r="K2" s="48">
        <f>B2/Stadium!$G$10</f>
        <v>0.15225830673623375</v>
      </c>
      <c r="L2" s="48">
        <f>B2/Stadium!$G$11</f>
        <v>0.15390426665734164</v>
      </c>
      <c r="M2" s="48">
        <f>B2/Stadium!$G$12</f>
        <v>0.15638244929125866</v>
      </c>
      <c r="N2" s="48">
        <f>B2/Stadium!$G$13</f>
        <v>0.15705880369076328</v>
      </c>
      <c r="O2" s="48">
        <f>B2/Stadium!$G$14</f>
        <v>0.20000214629988344</v>
      </c>
      <c r="P2" s="48">
        <f>B2/Stadium!$G$15</f>
        <v>0.20529500742561724</v>
      </c>
      <c r="Q2" s="48">
        <f>B2/Stadium!$G$16</f>
        <v>0.22609310980207667</v>
      </c>
      <c r="R2" s="48">
        <f>B2/Stadium!$G$17</f>
        <v>0.22616963911826826</v>
      </c>
      <c r="S2" s="49">
        <f t="shared" ref="S2:S49" si="0">4.5/72</f>
        <v>6.25E-2</v>
      </c>
      <c r="T2" s="50">
        <f t="shared" ref="T2:T49" si="1">S2*SUM(C2:R2)</f>
        <v>0.16360317562831553</v>
      </c>
      <c r="U2" s="40">
        <f t="shared" ref="U2:U49" si="2">IF(OR(A2="USA", A2="Mexico", A2="Canada"), 1, MIN(1, T2))</f>
        <v>1</v>
      </c>
      <c r="V2" s="51">
        <f t="shared" ref="V2:V49" si="3">U2*100</f>
        <v>100</v>
      </c>
      <c r="W2" s="15" t="s">
        <v>8</v>
      </c>
    </row>
    <row r="3" spans="1:23" x14ac:dyDescent="0.3">
      <c r="A3" s="15" t="s">
        <v>109</v>
      </c>
      <c r="B3" s="47">
        <f>VLOOKUP(A3, 'All attendance'!A:D, 4, FALSE)</f>
        <v>6522.0792000000001</v>
      </c>
      <c r="C3" s="48">
        <f>B3/Stadium!$G$2</f>
        <v>0.76010486662594179</v>
      </c>
      <c r="D3" s="48">
        <f>B3/Stadium!$G$3</f>
        <v>0.82079542643542325</v>
      </c>
      <c r="E3" s="48">
        <f>B3/Stadium!$G$4</f>
        <v>0.85174410313453697</v>
      </c>
      <c r="F3" s="48">
        <f>B3/Stadium!$G$5</f>
        <v>0.85751615218951904</v>
      </c>
      <c r="G3" s="48">
        <f>B3/Stadium!$G$6</f>
        <v>0.86071680765517133</v>
      </c>
      <c r="H3" s="48">
        <f>B3/Stadium!$G$7</f>
        <v>0.87432477931811858</v>
      </c>
      <c r="I3" s="48">
        <f>B3/Stadium!$G$8</f>
        <v>0.88465925081095498</v>
      </c>
      <c r="J3" s="48">
        <f>B3/Stadium!$G$9</f>
        <v>0.88637915170223502</v>
      </c>
      <c r="K3" s="48">
        <f>B3/Stadium!$G$10</f>
        <v>0.90731766600331176</v>
      </c>
      <c r="L3" s="48">
        <f>B3/Stadium!$G$11</f>
        <v>0.91712605377516399</v>
      </c>
      <c r="M3" s="48">
        <f>B3/Stadium!$G$12</f>
        <v>0.93189371362593809</v>
      </c>
      <c r="N3" s="48">
        <f>B3/Stadium!$G$13</f>
        <v>0.93592415576275167</v>
      </c>
      <c r="O3" s="48">
        <f>B3/Stadium!$G$14</f>
        <v>1.1918264721728893</v>
      </c>
      <c r="P3" s="48">
        <f>B3/Stadium!$G$15</f>
        <v>1.2233669937117224</v>
      </c>
      <c r="Q3" s="48">
        <f>B3/Stadium!$G$16</f>
        <v>1.3473043085946312</v>
      </c>
      <c r="R3" s="48">
        <f>B3/Stadium!$G$17</f>
        <v>1.3477603520252734</v>
      </c>
      <c r="S3" s="49">
        <f t="shared" si="0"/>
        <v>6.25E-2</v>
      </c>
      <c r="T3" s="50">
        <f t="shared" si="1"/>
        <v>0.97492251584647405</v>
      </c>
      <c r="U3" s="40">
        <f t="shared" si="2"/>
        <v>1</v>
      </c>
      <c r="V3" s="51">
        <f t="shared" si="3"/>
        <v>100</v>
      </c>
      <c r="W3" s="15" t="s">
        <v>109</v>
      </c>
    </row>
    <row r="4" spans="1:23" x14ac:dyDescent="0.3">
      <c r="A4" s="15" t="s">
        <v>21</v>
      </c>
      <c r="B4" s="47">
        <f>VLOOKUP(A4, 'All attendance'!A:D, 4, FALSE)</f>
        <v>4192.5365014367335</v>
      </c>
      <c r="C4" s="48">
        <f>B4/Stadium!$G$2</f>
        <v>0.48861218953749608</v>
      </c>
      <c r="D4" s="48">
        <f>B4/Stadium!$G$3</f>
        <v>0.52762542128326828</v>
      </c>
      <c r="E4" s="48">
        <f>B4/Stadium!$G$4</f>
        <v>0.54751991393711374</v>
      </c>
      <c r="F4" s="48">
        <f>B4/Stadium!$G$5</f>
        <v>0.55123031450248805</v>
      </c>
      <c r="G4" s="48">
        <f>B4/Stadium!$G$6</f>
        <v>0.55328776649851263</v>
      </c>
      <c r="H4" s="48">
        <f>B4/Stadium!$G$7</f>
        <v>0.56203527111443674</v>
      </c>
      <c r="I4" s="48">
        <f>B4/Stadium!$G$8</f>
        <v>0.56867849755007616</v>
      </c>
      <c r="J4" s="48">
        <f>B4/Stadium!$G$9</f>
        <v>0.56978408781422774</v>
      </c>
      <c r="K4" s="48">
        <f>B4/Stadium!$G$10</f>
        <v>0.58324382707852851</v>
      </c>
      <c r="L4" s="48">
        <f>B4/Stadium!$G$11</f>
        <v>0.58954887528366773</v>
      </c>
      <c r="M4" s="48">
        <f>B4/Stadium!$G$12</f>
        <v>0.59904185306982716</v>
      </c>
      <c r="N4" s="48">
        <f>B4/Stadium!$G$13</f>
        <v>0.60163271025774967</v>
      </c>
      <c r="O4" s="48">
        <f>B4/Stadium!$G$14</f>
        <v>0.76613236894814296</v>
      </c>
      <c r="P4" s="48">
        <f>B4/Stadium!$G$15</f>
        <v>0.78640731253145757</v>
      </c>
      <c r="Q4" s="48">
        <f>B4/Stadium!$G$16</f>
        <v>0.86607695477325264</v>
      </c>
      <c r="R4" s="48">
        <f>B4/Stadium!$G$17</f>
        <v>0.86637010955880156</v>
      </c>
      <c r="S4" s="49">
        <f t="shared" si="0"/>
        <v>6.25E-2</v>
      </c>
      <c r="T4" s="50">
        <f t="shared" si="1"/>
        <v>0.62670171710869038</v>
      </c>
      <c r="U4" s="40">
        <f t="shared" si="2"/>
        <v>1</v>
      </c>
      <c r="V4" s="51">
        <f t="shared" si="3"/>
        <v>100</v>
      </c>
      <c r="W4" s="15" t="s">
        <v>21</v>
      </c>
    </row>
    <row r="5" spans="1:23" x14ac:dyDescent="0.3">
      <c r="A5" s="15" t="s">
        <v>76</v>
      </c>
      <c r="B5" s="47">
        <f>VLOOKUP(A5, 'All attendance'!A:D, 4, FALSE)</f>
        <v>4068.5854367043844</v>
      </c>
      <c r="C5" s="48">
        <f>B5/Stadium!$G$2</f>
        <v>0.47416651897180812</v>
      </c>
      <c r="D5" s="48">
        <f>B5/Stadium!$G$3</f>
        <v>0.51202633640338624</v>
      </c>
      <c r="E5" s="48">
        <f>B5/Stadium!$G$4</f>
        <v>0.53133265444124234</v>
      </c>
      <c r="F5" s="48">
        <f>B5/Stadium!$G$5</f>
        <v>0.53493335814398846</v>
      </c>
      <c r="G5" s="48">
        <f>B5/Stadium!$G$6</f>
        <v>0.5369299821983945</v>
      </c>
      <c r="H5" s="48">
        <f>B5/Stadium!$G$7</f>
        <v>0.54541886950460094</v>
      </c>
      <c r="I5" s="48">
        <f>B5/Stadium!$G$8</f>
        <v>0.55186569097401672</v>
      </c>
      <c r="J5" s="48">
        <f>B5/Stadium!$G$9</f>
        <v>0.55293859479874141</v>
      </c>
      <c r="K5" s="48">
        <f>B5/Stadium!$G$10</f>
        <v>0.56600040097116378</v>
      </c>
      <c r="L5" s="48">
        <f>B5/Stadium!$G$11</f>
        <v>0.57211904234646427</v>
      </c>
      <c r="M5" s="48">
        <f>B5/Stadium!$G$12</f>
        <v>0.58133136313567879</v>
      </c>
      <c r="N5" s="48">
        <f>B5/Stadium!$G$13</f>
        <v>0.58384562241994509</v>
      </c>
      <c r="O5" s="48">
        <f>B5/Stadium!$G$14</f>
        <v>0.74348189880328042</v>
      </c>
      <c r="P5" s="48">
        <f>B5/Stadium!$G$15</f>
        <v>0.76315741985475094</v>
      </c>
      <c r="Q5" s="48">
        <f>B5/Stadium!$G$16</f>
        <v>0.8404716533888742</v>
      </c>
      <c r="R5" s="48">
        <f>B5/Stadium!$G$17</f>
        <v>0.84075614114247532</v>
      </c>
      <c r="S5" s="49">
        <f t="shared" si="0"/>
        <v>6.25E-2</v>
      </c>
      <c r="T5" s="50">
        <f t="shared" si="1"/>
        <v>0.60817347171867575</v>
      </c>
      <c r="U5" s="40">
        <f t="shared" si="2"/>
        <v>0.60817347171867575</v>
      </c>
      <c r="V5" s="51">
        <f t="shared" si="3"/>
        <v>60.817347171867574</v>
      </c>
      <c r="W5" s="15" t="s">
        <v>76</v>
      </c>
    </row>
    <row r="6" spans="1:23" x14ac:dyDescent="0.3">
      <c r="A6" s="15" t="s">
        <v>25</v>
      </c>
      <c r="B6" s="47">
        <f>VLOOKUP(A6, 'All attendance'!A:D, 4, FALSE)</f>
        <v>2661.7493239874721</v>
      </c>
      <c r="C6" s="48">
        <f>B6/Stadium!$G$2</f>
        <v>0.31020914540583744</v>
      </c>
      <c r="D6" s="48">
        <f>B6/Stadium!$G$3</f>
        <v>0.33497778920662241</v>
      </c>
      <c r="E6" s="48">
        <f>B6/Stadium!$G$4</f>
        <v>0.34760836555444918</v>
      </c>
      <c r="F6" s="48">
        <f>B6/Stadium!$G$5</f>
        <v>0.34996401736409311</v>
      </c>
      <c r="G6" s="48">
        <f>B6/Stadium!$G$6</f>
        <v>0.3512702484386892</v>
      </c>
      <c r="H6" s="48">
        <f>B6/Stadium!$G$7</f>
        <v>0.35682384695596731</v>
      </c>
      <c r="I6" s="48">
        <f>B6/Stadium!$G$8</f>
        <v>0.36104148548293047</v>
      </c>
      <c r="J6" s="48">
        <f>B6/Stadium!$G$9</f>
        <v>0.36174340045426201</v>
      </c>
      <c r="K6" s="48">
        <f>B6/Stadium!$G$10</f>
        <v>0.37028869323239832</v>
      </c>
      <c r="L6" s="48">
        <f>B6/Stadium!$G$11</f>
        <v>0.37429162982984637</v>
      </c>
      <c r="M6" s="48">
        <f>B6/Stadium!$G$12</f>
        <v>0.38031851288650642</v>
      </c>
      <c r="N6" s="48">
        <f>B6/Stadium!$G$13</f>
        <v>0.38196339119970357</v>
      </c>
      <c r="O6" s="48">
        <f>B6/Stadium!$G$14</f>
        <v>0.48640061080775615</v>
      </c>
      <c r="P6" s="48">
        <f>B6/Stadium!$G$15</f>
        <v>0.49927272709303544</v>
      </c>
      <c r="Q6" s="48">
        <f>B6/Stadium!$G$16</f>
        <v>0.54985323278612863</v>
      </c>
      <c r="R6" s="48">
        <f>B6/Stadium!$G$17</f>
        <v>0.5500393503195099</v>
      </c>
      <c r="S6" s="49">
        <f t="shared" si="0"/>
        <v>6.25E-2</v>
      </c>
      <c r="T6" s="50">
        <f t="shared" si="1"/>
        <v>0.39787915293860848</v>
      </c>
      <c r="U6" s="40">
        <f t="shared" si="2"/>
        <v>0.39787915293860848</v>
      </c>
      <c r="V6" s="51">
        <f t="shared" si="3"/>
        <v>39.787915293860848</v>
      </c>
      <c r="W6" s="15" t="s">
        <v>25</v>
      </c>
    </row>
    <row r="7" spans="1:23" x14ac:dyDescent="0.3">
      <c r="A7" s="15" t="s">
        <v>83</v>
      </c>
      <c r="B7" s="47">
        <f>VLOOKUP(A7, 'All attendance'!A:D, 4, FALSE)</f>
        <v>2401.4744501274386</v>
      </c>
      <c r="C7" s="48">
        <f>B7/Stadium!$G$2</f>
        <v>0.27987584336904764</v>
      </c>
      <c r="D7" s="48">
        <f>B7/Stadium!$G$3</f>
        <v>0.30222252519811849</v>
      </c>
      <c r="E7" s="48">
        <f>B7/Stadium!$G$4</f>
        <v>0.31361804096526463</v>
      </c>
      <c r="F7" s="48">
        <f>B7/Stadium!$G$5</f>
        <v>0.3157433491538591</v>
      </c>
      <c r="G7" s="48">
        <f>B7/Stadium!$G$6</f>
        <v>0.31692185252505778</v>
      </c>
      <c r="H7" s="48">
        <f>B7/Stadium!$G$7</f>
        <v>0.32193240134921591</v>
      </c>
      <c r="I7" s="48">
        <f>B7/Stadium!$G$8</f>
        <v>0.32573762488063462</v>
      </c>
      <c r="J7" s="48">
        <f>B7/Stadium!$G$9</f>
        <v>0.32637090422614773</v>
      </c>
      <c r="K7" s="48">
        <f>B7/Stadium!$G$10</f>
        <v>0.33408060930266131</v>
      </c>
      <c r="L7" s="48">
        <f>B7/Stadium!$G$11</f>
        <v>0.33769212518720404</v>
      </c>
      <c r="M7" s="48">
        <f>B7/Stadium!$G$12</f>
        <v>0.34312967918375881</v>
      </c>
      <c r="N7" s="48">
        <f>B7/Stadium!$G$13</f>
        <v>0.34461371571834659</v>
      </c>
      <c r="O7" s="48">
        <f>B7/Stadium!$G$14</f>
        <v>0.43883870988698115</v>
      </c>
      <c r="P7" s="48">
        <f>B7/Stadium!$G$15</f>
        <v>0.45045214699752745</v>
      </c>
      <c r="Q7" s="48">
        <f>B7/Stadium!$G$16</f>
        <v>0.49608671934505494</v>
      </c>
      <c r="R7" s="48">
        <f>B7/Stadium!$G$17</f>
        <v>0.4962546376749698</v>
      </c>
      <c r="S7" s="49">
        <f t="shared" si="0"/>
        <v>6.25E-2</v>
      </c>
      <c r="T7" s="50">
        <f t="shared" si="1"/>
        <v>0.35897318031024061</v>
      </c>
      <c r="U7" s="40">
        <f t="shared" si="2"/>
        <v>0.35897318031024061</v>
      </c>
      <c r="V7" s="51">
        <f t="shared" si="3"/>
        <v>35.897318031024064</v>
      </c>
      <c r="W7" s="15" t="s">
        <v>83</v>
      </c>
    </row>
    <row r="8" spans="1:23" x14ac:dyDescent="0.3">
      <c r="A8" s="15" t="s">
        <v>58</v>
      </c>
      <c r="B8" s="47">
        <f>VLOOKUP(A8, 'All attendance'!A:D, 4, FALSE)</f>
        <v>2137.4496375550034</v>
      </c>
      <c r="C8" s="48">
        <f>B8/Stadium!$G$2</f>
        <v>0.24910551096549294</v>
      </c>
      <c r="D8" s="48">
        <f>B8/Stadium!$G$3</f>
        <v>0.26899533614084292</v>
      </c>
      <c r="E8" s="48">
        <f>B8/Stadium!$G$4</f>
        <v>0.279137997056909</v>
      </c>
      <c r="F8" s="48">
        <f>B8/Stadium!$G$5</f>
        <v>0.28102964292354016</v>
      </c>
      <c r="G8" s="48">
        <f>B8/Stadium!$G$6</f>
        <v>0.28207857834048466</v>
      </c>
      <c r="H8" s="48">
        <f>B8/Stadium!$G$7</f>
        <v>0.28653825342367367</v>
      </c>
      <c r="I8" s="48">
        <f>B8/Stadium!$G$8</f>
        <v>0.28992512004539234</v>
      </c>
      <c r="J8" s="48">
        <f>B8/Stadium!$G$9</f>
        <v>0.29048877488980102</v>
      </c>
      <c r="K8" s="48">
        <f>B8/Stadium!$G$10</f>
        <v>0.29735085344348933</v>
      </c>
      <c r="L8" s="48">
        <f>B8/Stadium!$G$11</f>
        <v>0.3005653091783943</v>
      </c>
      <c r="M8" s="48">
        <f>B8/Stadium!$G$12</f>
        <v>0.30540504329195317</v>
      </c>
      <c r="N8" s="48">
        <f>B8/Stadium!$G$13</f>
        <v>0.30672592070241439</v>
      </c>
      <c r="O8" s="48">
        <f>B8/Stadium!$G$14</f>
        <v>0.39059155567666221</v>
      </c>
      <c r="P8" s="48">
        <f>B8/Stadium!$G$15</f>
        <v>0.40092817905459888</v>
      </c>
      <c r="Q8" s="48">
        <f>B8/Stadium!$G$16</f>
        <v>0.44154555898092879</v>
      </c>
      <c r="R8" s="48">
        <f>B8/Stadium!$G$17</f>
        <v>0.4416950159003627</v>
      </c>
      <c r="S8" s="49">
        <f t="shared" si="0"/>
        <v>6.25E-2</v>
      </c>
      <c r="T8" s="50">
        <f t="shared" si="1"/>
        <v>0.31950666562593377</v>
      </c>
      <c r="U8" s="40">
        <f t="shared" si="2"/>
        <v>0.31950666562593377</v>
      </c>
      <c r="V8" s="51">
        <f t="shared" si="3"/>
        <v>31.950666562593376</v>
      </c>
      <c r="W8" s="15" t="s">
        <v>58</v>
      </c>
    </row>
    <row r="9" spans="1:23" x14ac:dyDescent="0.3">
      <c r="A9" s="15" t="s">
        <v>87</v>
      </c>
      <c r="B9" s="47">
        <f>VLOOKUP(A9, 'All attendance'!A:D, 4, FALSE)</f>
        <v>2102.4514614004561</v>
      </c>
      <c r="C9" s="48">
        <f>B9/Stadium!$G$2</f>
        <v>0.24502670676788316</v>
      </c>
      <c r="D9" s="48">
        <f>B9/Stadium!$G$3</f>
        <v>0.2645908598932632</v>
      </c>
      <c r="E9" s="48">
        <f>B9/Stadium!$G$4</f>
        <v>0.27456744689246154</v>
      </c>
      <c r="F9" s="48">
        <f>B9/Stadium!$G$5</f>
        <v>0.27642811932509964</v>
      </c>
      <c r="G9" s="48">
        <f>B9/Stadium!$G$6</f>
        <v>0.27745987968170494</v>
      </c>
      <c r="H9" s="48">
        <f>B9/Stadium!$G$7</f>
        <v>0.28184653293017503</v>
      </c>
      <c r="I9" s="48">
        <f>B9/Stadium!$G$8</f>
        <v>0.28517794367000709</v>
      </c>
      <c r="J9" s="48">
        <f>B9/Stadium!$G$9</f>
        <v>0.28573236934185964</v>
      </c>
      <c r="K9" s="48">
        <f>B9/Stadium!$G$10</f>
        <v>0.29248208958319821</v>
      </c>
      <c r="L9" s="48">
        <f>B9/Stadium!$G$11</f>
        <v>0.29564391245785954</v>
      </c>
      <c r="M9" s="48">
        <f>B9/Stadium!$G$12</f>
        <v>0.30040440172556498</v>
      </c>
      <c r="N9" s="48">
        <f>B9/Stadium!$G$13</f>
        <v>0.30170365135145638</v>
      </c>
      <c r="O9" s="48">
        <f>B9/Stadium!$G$14</f>
        <v>0.3841960870631011</v>
      </c>
      <c r="P9" s="48">
        <f>B9/Stadium!$G$15</f>
        <v>0.39436346062131433</v>
      </c>
      <c r="Q9" s="48">
        <f>B9/Stadium!$G$16</f>
        <v>0.43431577962989365</v>
      </c>
      <c r="R9" s="48">
        <f>B9/Stadium!$G$17</f>
        <v>0.43446278937139088</v>
      </c>
      <c r="S9" s="49">
        <f t="shared" si="0"/>
        <v>6.25E-2</v>
      </c>
      <c r="T9" s="50">
        <f t="shared" si="1"/>
        <v>0.31427512689413967</v>
      </c>
      <c r="U9" s="40">
        <f t="shared" si="2"/>
        <v>0.31427512689413967</v>
      </c>
      <c r="V9" s="51">
        <f t="shared" si="3"/>
        <v>31.427512689413966</v>
      </c>
      <c r="W9" s="15" t="s">
        <v>87</v>
      </c>
    </row>
    <row r="10" spans="1:23" x14ac:dyDescent="0.3">
      <c r="A10" s="15" t="s">
        <v>37</v>
      </c>
      <c r="B10" s="47">
        <f>VLOOKUP(A10, 'All attendance'!A:D, 4, FALSE)</f>
        <v>2070.6425729424059</v>
      </c>
      <c r="C10" s="48">
        <f>B10/Stadium!$G$2</f>
        <v>0.24131959279739876</v>
      </c>
      <c r="D10" s="48">
        <f>B10/Stadium!$G$3</f>
        <v>0.26058775147250651</v>
      </c>
      <c r="E10" s="48">
        <f>B10/Stadium!$G$4</f>
        <v>0.27041339841488271</v>
      </c>
      <c r="F10" s="48">
        <f>B10/Stadium!$G$5</f>
        <v>0.27224591993752201</v>
      </c>
      <c r="G10" s="48">
        <f>B10/Stadium!$G$6</f>
        <v>0.27326207034987826</v>
      </c>
      <c r="H10" s="48">
        <f>B10/Stadium!$G$7</f>
        <v>0.2775823560429273</v>
      </c>
      <c r="I10" s="48">
        <f>B10/Stadium!$G$8</f>
        <v>0.28086336444312066</v>
      </c>
      <c r="J10" s="48">
        <f>B10/Stadium!$G$9</f>
        <v>0.2814094019715711</v>
      </c>
      <c r="K10" s="48">
        <f>B10/Stadium!$G$10</f>
        <v>0.28805700280505575</v>
      </c>
      <c r="L10" s="48">
        <f>B10/Stadium!$G$11</f>
        <v>0.29117098910751049</v>
      </c>
      <c r="M10" s="48">
        <f>B10/Stadium!$G$12</f>
        <v>0.2958594548945781</v>
      </c>
      <c r="N10" s="48">
        <f>B10/Stadium!$G$13</f>
        <v>0.29713904761652282</v>
      </c>
      <c r="O10" s="48">
        <f>B10/Stadium!$G$14</f>
        <v>0.37838341994389491</v>
      </c>
      <c r="P10" s="48">
        <f>B10/Stadium!$G$15</f>
        <v>0.38839696695373721</v>
      </c>
      <c r="Q10" s="48">
        <f>B10/Stadium!$G$16</f>
        <v>0.42774483021990534</v>
      </c>
      <c r="R10" s="48">
        <f>B10/Stadium!$G$17</f>
        <v>0.42788961578807183</v>
      </c>
      <c r="S10" s="49">
        <f t="shared" si="0"/>
        <v>6.25E-2</v>
      </c>
      <c r="T10" s="50">
        <f t="shared" si="1"/>
        <v>0.30952032392244272</v>
      </c>
      <c r="U10" s="40">
        <f t="shared" si="2"/>
        <v>0.30952032392244272</v>
      </c>
      <c r="V10" s="51">
        <f t="shared" si="3"/>
        <v>30.952032392244273</v>
      </c>
      <c r="W10" s="15" t="s">
        <v>37</v>
      </c>
    </row>
    <row r="11" spans="1:23" x14ac:dyDescent="0.3">
      <c r="A11" s="15" t="s">
        <v>54</v>
      </c>
      <c r="B11" s="47">
        <f>VLOOKUP(A11, 'All attendance'!A:D, 4, FALSE)</f>
        <v>2024.3288785069894</v>
      </c>
      <c r="C11" s="48">
        <f>B11/Stadium!$G$2</f>
        <v>0.23592204035249947</v>
      </c>
      <c r="D11" s="48">
        <f>B11/Stadium!$G$3</f>
        <v>0.25475923154684882</v>
      </c>
      <c r="E11" s="48">
        <f>B11/Stadium!$G$4</f>
        <v>0.26436510999027407</v>
      </c>
      <c r="F11" s="48">
        <f>B11/Stadium!$G$5</f>
        <v>0.26615664382969129</v>
      </c>
      <c r="G11" s="48">
        <f>B11/Stadium!$G$6</f>
        <v>0.26715006618636417</v>
      </c>
      <c r="H11" s="48">
        <f>B11/Stadium!$G$7</f>
        <v>0.2713737208171158</v>
      </c>
      <c r="I11" s="48">
        <f>B11/Stadium!$G$8</f>
        <v>0.27458134348552127</v>
      </c>
      <c r="J11" s="48">
        <f>B11/Stadium!$G$9</f>
        <v>0.27511516788961438</v>
      </c>
      <c r="K11" s="48">
        <f>B11/Stadium!$G$10</f>
        <v>0.28161408301666485</v>
      </c>
      <c r="L11" s="48">
        <f>B11/Stadium!$G$11</f>
        <v>0.28465841934090874</v>
      </c>
      <c r="M11" s="48">
        <f>B11/Stadium!$G$12</f>
        <v>0.28924201904694885</v>
      </c>
      <c r="N11" s="48">
        <f>B11/Stadium!$G$13</f>
        <v>0.29049299134589046</v>
      </c>
      <c r="O11" s="48">
        <f>B11/Stadium!$G$14</f>
        <v>0.3699201852361263</v>
      </c>
      <c r="P11" s="48">
        <f>B11/Stadium!$G$15</f>
        <v>0.37970976101960219</v>
      </c>
      <c r="Q11" s="48">
        <f>B11/Stadium!$G$16</f>
        <v>0.41817753762097898</v>
      </c>
      <c r="R11" s="48">
        <f>B11/Stadium!$G$17</f>
        <v>0.41831908479607349</v>
      </c>
      <c r="S11" s="49">
        <f t="shared" si="0"/>
        <v>6.25E-2</v>
      </c>
      <c r="T11" s="50">
        <f t="shared" si="1"/>
        <v>0.3025973378450702</v>
      </c>
      <c r="U11" s="40">
        <f t="shared" si="2"/>
        <v>0.3025973378450702</v>
      </c>
      <c r="V11" s="51">
        <f t="shared" si="3"/>
        <v>30.25973378450702</v>
      </c>
      <c r="W11" s="15" t="s">
        <v>54</v>
      </c>
    </row>
    <row r="12" spans="1:23" x14ac:dyDescent="0.3">
      <c r="A12" s="15" t="s">
        <v>90</v>
      </c>
      <c r="B12" s="47">
        <f>VLOOKUP(A12, 'All attendance'!A:D, 4, FALSE)</f>
        <v>2017.3768586131814</v>
      </c>
      <c r="C12" s="48">
        <f>B12/Stadium!$G$2</f>
        <v>0.2351118287632008</v>
      </c>
      <c r="D12" s="48">
        <f>B12/Stadium!$G$3</f>
        <v>0.25388432862734339</v>
      </c>
      <c r="E12" s="48">
        <f>B12/Stadium!$G$4</f>
        <v>0.26345721823247004</v>
      </c>
      <c r="F12" s="48">
        <f>B12/Stadium!$G$5</f>
        <v>0.26524259952472745</v>
      </c>
      <c r="G12" s="48">
        <f>B12/Stadium!$G$6</f>
        <v>0.26623261023615835</v>
      </c>
      <c r="H12" s="48">
        <f>B12/Stadium!$G$7</f>
        <v>0.27044175984683677</v>
      </c>
      <c r="I12" s="48">
        <f>B12/Stadium!$G$8</f>
        <v>0.2736383667870968</v>
      </c>
      <c r="J12" s="48">
        <f>B12/Stadium!$G$9</f>
        <v>0.27417035791305194</v>
      </c>
      <c r="K12" s="48">
        <f>B12/Stadium!$G$10</f>
        <v>0.2806469542421387</v>
      </c>
      <c r="L12" s="48">
        <f>B12/Stadium!$G$11</f>
        <v>0.28368083560181911</v>
      </c>
      <c r="M12" s="48">
        <f>B12/Stadium!$G$12</f>
        <v>0.28824869415202237</v>
      </c>
      <c r="N12" s="48">
        <f>B12/Stadium!$G$13</f>
        <v>0.2894953703188477</v>
      </c>
      <c r="O12" s="48">
        <f>B12/Stadium!$G$14</f>
        <v>0.36864979260665426</v>
      </c>
      <c r="P12" s="48">
        <f>B12/Stadium!$G$15</f>
        <v>0.37840574869210514</v>
      </c>
      <c r="Q12" s="48">
        <f>B12/Stadium!$G$16</f>
        <v>0.41674141793136171</v>
      </c>
      <c r="R12" s="48">
        <f>B12/Stadium!$G$17</f>
        <v>0.41688247900027675</v>
      </c>
      <c r="S12" s="49">
        <f t="shared" si="0"/>
        <v>6.25E-2</v>
      </c>
      <c r="T12" s="50">
        <f t="shared" si="1"/>
        <v>0.30155814765475697</v>
      </c>
      <c r="U12" s="40">
        <f t="shared" si="2"/>
        <v>0.30155814765475697</v>
      </c>
      <c r="V12" s="51">
        <f t="shared" si="3"/>
        <v>30.155814765475697</v>
      </c>
      <c r="W12" s="15" t="s">
        <v>90</v>
      </c>
    </row>
    <row r="13" spans="1:23" x14ac:dyDescent="0.3">
      <c r="A13" s="15" t="s">
        <v>13</v>
      </c>
      <c r="B13" s="47">
        <f>VLOOKUP(A13, 'All attendance'!A:D, 4, FALSE)</f>
        <v>1965.4022336928065</v>
      </c>
      <c r="C13" s="48">
        <f>B13/Stadium!$G$2</f>
        <v>0.22905453259558681</v>
      </c>
      <c r="D13" s="48">
        <f>B13/Stadium!$G$3</f>
        <v>0.24734338775294548</v>
      </c>
      <c r="E13" s="48">
        <f>B13/Stadium!$G$4</f>
        <v>0.2566696465193638</v>
      </c>
      <c r="F13" s="48">
        <f>B13/Stadium!$G$5</f>
        <v>0.2584090301971404</v>
      </c>
      <c r="G13" s="48">
        <f>B13/Stadium!$G$6</f>
        <v>0.25937353479890513</v>
      </c>
      <c r="H13" s="48">
        <f>B13/Stadium!$G$7</f>
        <v>0.2634742421166551</v>
      </c>
      <c r="I13" s="48">
        <f>B13/Stadium!$G$8</f>
        <v>0.26658849337506596</v>
      </c>
      <c r="J13" s="48">
        <f>B13/Stadium!$G$9</f>
        <v>0.26710677856446569</v>
      </c>
      <c r="K13" s="48">
        <f>B13/Stadium!$G$10</f>
        <v>0.27341651530877648</v>
      </c>
      <c r="L13" s="48">
        <f>B13/Stadium!$G$11</f>
        <v>0.2763722333619586</v>
      </c>
      <c r="M13" s="48">
        <f>B13/Stadium!$G$12</f>
        <v>0.28082240803281</v>
      </c>
      <c r="N13" s="48">
        <f>B13/Stadium!$G$13</f>
        <v>0.28203696549762325</v>
      </c>
      <c r="O13" s="48">
        <f>B13/Stadium!$G$14</f>
        <v>0.35915209532917264</v>
      </c>
      <c r="P13" s="48">
        <f>B13/Stadium!$G$15</f>
        <v>0.36865670414843671</v>
      </c>
      <c r="Q13" s="48">
        <f>B13/Stadium!$G$16</f>
        <v>0.40600471358517543</v>
      </c>
      <c r="R13" s="48">
        <f>B13/Stadium!$G$17</f>
        <v>0.40614214043170094</v>
      </c>
      <c r="S13" s="49">
        <f t="shared" si="0"/>
        <v>6.25E-2</v>
      </c>
      <c r="T13" s="50">
        <f t="shared" si="1"/>
        <v>0.29378896385098641</v>
      </c>
      <c r="U13" s="40">
        <f t="shared" si="2"/>
        <v>0.29378896385098641</v>
      </c>
      <c r="V13" s="51">
        <f t="shared" si="3"/>
        <v>29.378896385098642</v>
      </c>
      <c r="W13" s="15" t="s">
        <v>13</v>
      </c>
    </row>
    <row r="14" spans="1:23" x14ac:dyDescent="0.3">
      <c r="A14" s="15" t="s">
        <v>63</v>
      </c>
      <c r="B14" s="47">
        <f>VLOOKUP(A14, 'All attendance'!A:D, 4, FALSE)</f>
        <v>1908.1629387553646</v>
      </c>
      <c r="C14" s="48">
        <f>B14/Stadium!$G$2</f>
        <v>0.22238367422205046</v>
      </c>
      <c r="D14" s="48">
        <f>B14/Stadium!$G$3</f>
        <v>0.240139894809002</v>
      </c>
      <c r="E14" s="48">
        <f>B14/Stadium!$G$4</f>
        <v>0.24919454073859612</v>
      </c>
      <c r="F14" s="48">
        <f>B14/Stadium!$G$5</f>
        <v>0.25088326756169188</v>
      </c>
      <c r="G14" s="48">
        <f>B14/Stadium!$G$6</f>
        <v>0.25181968246129666</v>
      </c>
      <c r="H14" s="48">
        <f>B14/Stadium!$G$7</f>
        <v>0.25580096303189587</v>
      </c>
      <c r="I14" s="48">
        <f>B14/Stadium!$G$8</f>
        <v>0.25882451654750693</v>
      </c>
      <c r="J14" s="48">
        <f>B14/Stadium!$G$9</f>
        <v>0.25932770748377665</v>
      </c>
      <c r="K14" s="48">
        <f>B14/Stadium!$G$10</f>
        <v>0.26545368292147353</v>
      </c>
      <c r="L14" s="48">
        <f>B14/Stadium!$G$11</f>
        <v>0.26832332026583294</v>
      </c>
      <c r="M14" s="48">
        <f>B14/Stadium!$G$12</f>
        <v>0.2726438904943258</v>
      </c>
      <c r="N14" s="48">
        <f>B14/Stadium!$G$13</f>
        <v>0.27382307585476512</v>
      </c>
      <c r="O14" s="48">
        <f>B14/Stadium!$G$14</f>
        <v>0.34869234700919594</v>
      </c>
      <c r="P14" s="48">
        <f>B14/Stadium!$G$15</f>
        <v>0.35792014882267542</v>
      </c>
      <c r="Q14" s="48">
        <f>B14/Stadium!$G$16</f>
        <v>0.39418045535014296</v>
      </c>
      <c r="R14" s="48">
        <f>B14/Stadium!$G$17</f>
        <v>0.39431387985268729</v>
      </c>
      <c r="S14" s="49">
        <f t="shared" si="0"/>
        <v>6.25E-2</v>
      </c>
      <c r="T14" s="50">
        <f t="shared" si="1"/>
        <v>0.28523281546418222</v>
      </c>
      <c r="U14" s="40">
        <f t="shared" si="2"/>
        <v>0.28523281546418222</v>
      </c>
      <c r="V14" s="51">
        <f t="shared" si="3"/>
        <v>28.523281546418222</v>
      </c>
      <c r="W14" s="15" t="s">
        <v>63</v>
      </c>
    </row>
    <row r="15" spans="1:23" x14ac:dyDescent="0.3">
      <c r="A15" s="15" t="s">
        <v>97</v>
      </c>
      <c r="B15" s="47">
        <f>VLOOKUP(A15, 'All attendance'!A:D, 4, FALSE)</f>
        <v>1873.2972927063909</v>
      </c>
      <c r="C15" s="48">
        <f>B15/Stadium!$G$2</f>
        <v>0.21832031552504438</v>
      </c>
      <c r="D15" s="48">
        <f>B15/Stadium!$G$3</f>
        <v>0.2357520973077521</v>
      </c>
      <c r="E15" s="48">
        <f>B15/Stadium!$G$4</f>
        <v>0.24464129820449912</v>
      </c>
      <c r="F15" s="48">
        <f>B15/Stadium!$G$5</f>
        <v>0.24629916888292733</v>
      </c>
      <c r="G15" s="48">
        <f>B15/Stadium!$G$6</f>
        <v>0.24721847376022663</v>
      </c>
      <c r="H15" s="48">
        <f>B15/Stadium!$G$7</f>
        <v>0.25112700901312945</v>
      </c>
      <c r="I15" s="48">
        <f>B15/Stadium!$G$8</f>
        <v>0.25409531664562213</v>
      </c>
      <c r="J15" s="48">
        <f>B15/Stadium!$G$9</f>
        <v>0.25458931335810581</v>
      </c>
      <c r="K15" s="48">
        <f>B15/Stadium!$G$10</f>
        <v>0.26060335595873863</v>
      </c>
      <c r="L15" s="48">
        <f>B15/Stadium!$G$11</f>
        <v>0.26342055975148393</v>
      </c>
      <c r="M15" s="48">
        <f>B15/Stadium!$G$12</f>
        <v>0.26766218521626883</v>
      </c>
      <c r="N15" s="48">
        <f>B15/Stadium!$G$13</f>
        <v>0.26881982469162247</v>
      </c>
      <c r="O15" s="48">
        <f>B15/Stadium!$G$14</f>
        <v>0.34232109657565674</v>
      </c>
      <c r="P15" s="48">
        <f>B15/Stadium!$G$15</f>
        <v>0.35138028947985267</v>
      </c>
      <c r="Q15" s="48">
        <f>B15/Stadium!$G$16</f>
        <v>0.38697805352348041</v>
      </c>
      <c r="R15" s="48">
        <f>B15/Stadium!$G$17</f>
        <v>0.38710904011499236</v>
      </c>
      <c r="S15" s="49">
        <f t="shared" si="0"/>
        <v>6.25E-2</v>
      </c>
      <c r="T15" s="50">
        <f t="shared" si="1"/>
        <v>0.28002108737558773</v>
      </c>
      <c r="U15" s="40">
        <f t="shared" si="2"/>
        <v>0.28002108737558773</v>
      </c>
      <c r="V15" s="51">
        <f t="shared" si="3"/>
        <v>28.002108737558771</v>
      </c>
      <c r="W15" s="15" t="s">
        <v>97</v>
      </c>
    </row>
    <row r="16" spans="1:23" x14ac:dyDescent="0.3">
      <c r="A16" s="15" t="s">
        <v>86</v>
      </c>
      <c r="B16" s="47">
        <f>VLOOKUP(A16, 'All attendance'!A:D, 4, FALSE)</f>
        <v>1870.4760380810444</v>
      </c>
      <c r="C16" s="48">
        <f>B16/Stadium!$G$2</f>
        <v>0.21799151709973288</v>
      </c>
      <c r="D16" s="48">
        <f>B16/Stadium!$G$3</f>
        <v>0.2353970459779102</v>
      </c>
      <c r="E16" s="48">
        <f>B16/Stadium!$G$4</f>
        <v>0.24427285941114932</v>
      </c>
      <c r="F16" s="48">
        <f>B16/Stadium!$G$5</f>
        <v>0.24592823327535696</v>
      </c>
      <c r="G16" s="48">
        <f>B16/Stadium!$G$6</f>
        <v>0.2468461536456977</v>
      </c>
      <c r="H16" s="48">
        <f>B16/Stadium!$G$7</f>
        <v>0.25074880250074821</v>
      </c>
      <c r="I16" s="48">
        <f>B16/Stadium!$G$8</f>
        <v>0.25371263975276781</v>
      </c>
      <c r="J16" s="48">
        <f>B16/Stadium!$G$9</f>
        <v>0.25420589248803255</v>
      </c>
      <c r="K16" s="48">
        <f>B16/Stadium!$G$10</f>
        <v>0.26021087771930379</v>
      </c>
      <c r="L16" s="48">
        <f>B16/Stadium!$G$11</f>
        <v>0.26302383869951651</v>
      </c>
      <c r="M16" s="48">
        <f>B16/Stadium!$G$12</f>
        <v>0.26725907612033845</v>
      </c>
      <c r="N16" s="48">
        <f>B16/Stadium!$G$13</f>
        <v>0.26841497214806254</v>
      </c>
      <c r="O16" s="48">
        <f>B16/Stadium!$G$14</f>
        <v>0.34180554841315847</v>
      </c>
      <c r="P16" s="48">
        <f>B16/Stadium!$G$15</f>
        <v>0.3508510978396307</v>
      </c>
      <c r="Q16" s="48">
        <f>B16/Stadium!$G$16</f>
        <v>0.38639525034127253</v>
      </c>
      <c r="R16" s="48">
        <f>B16/Stadium!$G$17</f>
        <v>0.38652603966215976</v>
      </c>
      <c r="S16" s="49">
        <f t="shared" si="0"/>
        <v>6.25E-2</v>
      </c>
      <c r="T16" s="50">
        <f t="shared" si="1"/>
        <v>0.27959936531842738</v>
      </c>
      <c r="U16" s="40">
        <f t="shared" si="2"/>
        <v>0.27959936531842738</v>
      </c>
      <c r="V16" s="51">
        <f t="shared" si="3"/>
        <v>27.95993653184274</v>
      </c>
      <c r="W16" s="15" t="s">
        <v>86</v>
      </c>
    </row>
    <row r="17" spans="1:23" x14ac:dyDescent="0.3">
      <c r="A17" s="15" t="s">
        <v>75</v>
      </c>
      <c r="B17" s="47">
        <f>VLOOKUP(A17, 'All attendance'!A:D, 4, FALSE)</f>
        <v>1853.6071328290463</v>
      </c>
      <c r="C17" s="48">
        <f>B17/Stadium!$G$2</f>
        <v>0.21602555860957906</v>
      </c>
      <c r="D17" s="48">
        <f>B17/Stadium!$G$3</f>
        <v>0.23327411556642233</v>
      </c>
      <c r="E17" s="48">
        <f>B17/Stadium!$G$4</f>
        <v>0.24206988239505839</v>
      </c>
      <c r="F17" s="48">
        <f>B17/Stadium!$G$5</f>
        <v>0.24371032725493591</v>
      </c>
      <c r="G17" s="48">
        <f>B17/Stadium!$G$6</f>
        <v>0.24461996935202379</v>
      </c>
      <c r="H17" s="48">
        <f>B17/Stadium!$G$7</f>
        <v>0.24848742213269145</v>
      </c>
      <c r="I17" s="48">
        <f>B17/Stadium!$G$8</f>
        <v>0.25142452999135401</v>
      </c>
      <c r="J17" s="48">
        <f>B17/Stadium!$G$9</f>
        <v>0.25191333432231583</v>
      </c>
      <c r="K17" s="48">
        <f>B17/Stadium!$G$10</f>
        <v>0.25786416353937269</v>
      </c>
      <c r="L17" s="48">
        <f>B17/Stadium!$G$11</f>
        <v>0.26065175580526517</v>
      </c>
      <c r="M17" s="48">
        <f>B17/Stadium!$G$12</f>
        <v>0.26484879769868286</v>
      </c>
      <c r="N17" s="48">
        <f>B17/Stadium!$G$13</f>
        <v>0.26599426926751213</v>
      </c>
      <c r="O17" s="48">
        <f>B17/Stadium!$G$14</f>
        <v>0.33872297194951978</v>
      </c>
      <c r="P17" s="48">
        <f>B17/Stadium!$G$15</f>
        <v>0.34768694400578204</v>
      </c>
      <c r="Q17" s="48">
        <f>B17/Stadium!$G$16</f>
        <v>0.38291054124309237</v>
      </c>
      <c r="R17" s="48">
        <f>B17/Stadium!$G$17</f>
        <v>0.38304015103929334</v>
      </c>
      <c r="S17" s="49">
        <f t="shared" si="0"/>
        <v>6.25E-2</v>
      </c>
      <c r="T17" s="50">
        <f t="shared" si="1"/>
        <v>0.27707779588580633</v>
      </c>
      <c r="U17" s="40">
        <f t="shared" si="2"/>
        <v>0.27707779588580633</v>
      </c>
      <c r="V17" s="51">
        <f t="shared" si="3"/>
        <v>27.707779588580632</v>
      </c>
      <c r="W17" s="15" t="s">
        <v>75</v>
      </c>
    </row>
    <row r="18" spans="1:23" x14ac:dyDescent="0.3">
      <c r="A18" s="15" t="s">
        <v>80</v>
      </c>
      <c r="B18" s="47">
        <f>VLOOKUP(A18, 'All attendance'!A:D, 4, FALSE)</f>
        <v>1716.4206069245677</v>
      </c>
      <c r="C18" s="48">
        <f>B18/Stadium!$G$2</f>
        <v>0.20003738324741849</v>
      </c>
      <c r="D18" s="48">
        <f>B18/Stadium!$G$3</f>
        <v>0.21600936462151493</v>
      </c>
      <c r="E18" s="48">
        <f>B18/Stadium!$G$4</f>
        <v>0.22415415170772587</v>
      </c>
      <c r="F18" s="48">
        <f>B18/Stadium!$G$5</f>
        <v>0.22567318630364902</v>
      </c>
      <c r="G18" s="48">
        <f>B18/Stadium!$G$6</f>
        <v>0.22651550526796202</v>
      </c>
      <c r="H18" s="48">
        <f>B18/Stadium!$G$7</f>
        <v>0.23009672565251796</v>
      </c>
      <c r="I18" s="48">
        <f>B18/Stadium!$G$8</f>
        <v>0.23281645647577731</v>
      </c>
      <c r="J18" s="48">
        <f>B18/Stadium!$G$9</f>
        <v>0.23326908411814956</v>
      </c>
      <c r="K18" s="48">
        <f>B18/Stadium!$G$10</f>
        <v>0.23877948905538995</v>
      </c>
      <c r="L18" s="48">
        <f>B18/Stadium!$G$11</f>
        <v>0.24136077002056347</v>
      </c>
      <c r="M18" s="48">
        <f>B18/Stadium!$G$12</f>
        <v>0.24524718643880036</v>
      </c>
      <c r="N18" s="48">
        <f>B18/Stadium!$G$13</f>
        <v>0.24630788100053522</v>
      </c>
      <c r="O18" s="48">
        <f>B18/Stadium!$G$14</f>
        <v>0.31365389072793792</v>
      </c>
      <c r="P18" s="48">
        <f>B18/Stadium!$G$15</f>
        <v>0.32195443407650715</v>
      </c>
      <c r="Q18" s="48">
        <f>B18/Stadium!$G$16</f>
        <v>0.35457111270131181</v>
      </c>
      <c r="R18" s="48">
        <f>B18/Stadium!$G$17</f>
        <v>0.35469113000223745</v>
      </c>
      <c r="S18" s="49">
        <f t="shared" si="0"/>
        <v>6.25E-2</v>
      </c>
      <c r="T18" s="50">
        <f t="shared" si="1"/>
        <v>0.25657110946362488</v>
      </c>
      <c r="U18" s="40">
        <f t="shared" si="2"/>
        <v>0.25657110946362488</v>
      </c>
      <c r="V18" s="51">
        <f t="shared" si="3"/>
        <v>25.657110946362486</v>
      </c>
      <c r="W18" s="15" t="s">
        <v>80</v>
      </c>
    </row>
    <row r="19" spans="1:23" x14ac:dyDescent="0.3">
      <c r="A19" s="15" t="s">
        <v>9</v>
      </c>
      <c r="B19" s="47">
        <f>VLOOKUP(A19, 'All attendance'!A:D, 4, FALSE)</f>
        <v>1678.8865996913441</v>
      </c>
      <c r="C19" s="48">
        <f>B19/Stadium!$G$2</f>
        <v>0.19566304483675542</v>
      </c>
      <c r="D19" s="48">
        <f>B19/Stadium!$G$3</f>
        <v>0.21128575723679874</v>
      </c>
      <c r="E19" s="48">
        <f>B19/Stadium!$G$4</f>
        <v>0.21925243733910749</v>
      </c>
      <c r="F19" s="48">
        <f>B19/Stadium!$G$5</f>
        <v>0.22073825428704805</v>
      </c>
      <c r="G19" s="48">
        <f>B19/Stadium!$G$6</f>
        <v>0.22156215375326618</v>
      </c>
      <c r="H19" s="48">
        <f>B19/Stadium!$G$7</f>
        <v>0.22506506142631341</v>
      </c>
      <c r="I19" s="48">
        <f>B19/Stadium!$G$8</f>
        <v>0.22772531825119452</v>
      </c>
      <c r="J19" s="48">
        <f>B19/Stadium!$G$9</f>
        <v>0.22816804801123289</v>
      </c>
      <c r="K19" s="48">
        <f>B19/Stadium!$G$10</f>
        <v>0.23355795359188319</v>
      </c>
      <c r="L19" s="48">
        <f>B19/Stadium!$G$11</f>
        <v>0.23608278812543795</v>
      </c>
      <c r="M19" s="48">
        <f>B19/Stadium!$G$12</f>
        <v>0.23988421792596298</v>
      </c>
      <c r="N19" s="48">
        <f>B19/Stadium!$G$13</f>
        <v>0.24092171763837492</v>
      </c>
      <c r="O19" s="48">
        <f>B19/Stadium!$G$14</f>
        <v>0.30679503145077913</v>
      </c>
      <c r="P19" s="48">
        <f>B19/Stadium!$G$15</f>
        <v>0.31491406179908021</v>
      </c>
      <c r="Q19" s="48">
        <f>B19/Stadium!$G$16</f>
        <v>0.34681749179095184</v>
      </c>
      <c r="R19" s="48">
        <f>B19/Stadium!$G$17</f>
        <v>0.34693488460099048</v>
      </c>
      <c r="S19" s="49">
        <f t="shared" si="0"/>
        <v>6.25E-2</v>
      </c>
      <c r="T19" s="50">
        <f t="shared" si="1"/>
        <v>0.25096051387907364</v>
      </c>
      <c r="U19" s="40">
        <f t="shared" si="2"/>
        <v>0.25096051387907364</v>
      </c>
      <c r="V19" s="51">
        <f t="shared" si="3"/>
        <v>25.096051387907366</v>
      </c>
      <c r="W19" s="15" t="s">
        <v>9</v>
      </c>
    </row>
    <row r="20" spans="1:23" x14ac:dyDescent="0.3">
      <c r="A20" s="15" t="s">
        <v>96</v>
      </c>
      <c r="B20" s="47">
        <f>VLOOKUP(A20, 'All attendance'!A:D, 4, FALSE)</f>
        <v>1655.2097270024196</v>
      </c>
      <c r="C20" s="48">
        <f>B20/Stadium!$G$2</f>
        <v>0.19290366311116486</v>
      </c>
      <c r="D20" s="48">
        <f>B20/Stadium!$G$3</f>
        <v>0.20830605272548844</v>
      </c>
      <c r="E20" s="48">
        <f>B20/Stadium!$G$4</f>
        <v>0.21616038094496579</v>
      </c>
      <c r="F20" s="48">
        <f>B20/Stadium!$G$5</f>
        <v>0.21762524382803863</v>
      </c>
      <c r="G20" s="48">
        <f>B20/Stadium!$G$6</f>
        <v>0.21843752406829256</v>
      </c>
      <c r="H20" s="48">
        <f>B20/Stadium!$G$7</f>
        <v>0.22189103120467993</v>
      </c>
      <c r="I20" s="48">
        <f>B20/Stadium!$G$8</f>
        <v>0.22451377116441115</v>
      </c>
      <c r="J20" s="48">
        <f>B20/Stadium!$G$9</f>
        <v>0.22495025722927325</v>
      </c>
      <c r="K20" s="48">
        <f>B20/Stadium!$G$10</f>
        <v>0.23026415046444301</v>
      </c>
      <c r="L20" s="48">
        <f>B20/Stadium!$G$11</f>
        <v>0.23275337795591253</v>
      </c>
      <c r="M20" s="48">
        <f>B20/Stadium!$G$12</f>
        <v>0.23650119724490007</v>
      </c>
      <c r="N20" s="48">
        <f>B20/Stadium!$G$13</f>
        <v>0.23752406538623977</v>
      </c>
      <c r="O20" s="48">
        <f>B20/Stadium!$G$14</f>
        <v>0.30246838609987209</v>
      </c>
      <c r="P20" s="48">
        <f>B20/Stadium!$G$15</f>
        <v>0.31047291601202126</v>
      </c>
      <c r="Q20" s="48">
        <f>B20/Stadium!$G$16</f>
        <v>0.3419264207674913</v>
      </c>
      <c r="R20" s="48">
        <f>B20/Stadium!$G$17</f>
        <v>0.34204215801924609</v>
      </c>
      <c r="S20" s="49">
        <f t="shared" si="0"/>
        <v>6.25E-2</v>
      </c>
      <c r="T20" s="50">
        <f t="shared" si="1"/>
        <v>0.24742128726415252</v>
      </c>
      <c r="U20" s="40">
        <f t="shared" si="2"/>
        <v>0.24742128726415252</v>
      </c>
      <c r="V20" s="51">
        <f t="shared" si="3"/>
        <v>24.742128726415253</v>
      </c>
      <c r="W20" s="15" t="s">
        <v>96</v>
      </c>
    </row>
    <row r="21" spans="1:23" x14ac:dyDescent="0.3">
      <c r="A21" s="15" t="s">
        <v>82</v>
      </c>
      <c r="B21" s="47">
        <f>VLOOKUP(A21, 'All attendance'!A:D, 4, FALSE)</f>
        <v>1634.8958721946426</v>
      </c>
      <c r="C21" s="48">
        <f>B21/Stadium!$G$2</f>
        <v>0.19053621870795612</v>
      </c>
      <c r="D21" s="48">
        <f>B21/Stadium!$G$3</f>
        <v>0.20574957976522501</v>
      </c>
      <c r="E21" s="48">
        <f>B21/Stadium!$G$4</f>
        <v>0.21350751434922507</v>
      </c>
      <c r="F21" s="48">
        <f>B21/Stadium!$G$5</f>
        <v>0.2149543994428767</v>
      </c>
      <c r="G21" s="48">
        <f>B21/Stadium!$G$6</f>
        <v>0.21575671082988226</v>
      </c>
      <c r="H21" s="48">
        <f>B21/Stadium!$G$7</f>
        <v>0.21916783418770566</v>
      </c>
      <c r="I21" s="48">
        <f>B21/Stadium!$G$8</f>
        <v>0.22175838610632562</v>
      </c>
      <c r="J21" s="48">
        <f>B21/Stadium!$G$9</f>
        <v>0.22218951531857706</v>
      </c>
      <c r="K21" s="48">
        <f>B21/Stadium!$G$10</f>
        <v>0.22743819285697905</v>
      </c>
      <c r="L21" s="48">
        <f>B21/Stadium!$G$11</f>
        <v>0.22989687086277291</v>
      </c>
      <c r="M21" s="48">
        <f>B21/Stadium!$G$12</f>
        <v>0.23359869437512848</v>
      </c>
      <c r="N21" s="48">
        <f>B21/Stadium!$G$13</f>
        <v>0.23460900918587105</v>
      </c>
      <c r="O21" s="48">
        <f>B21/Stadium!$G$14</f>
        <v>0.29875628921031189</v>
      </c>
      <c r="P21" s="48">
        <f>B21/Stadium!$G$15</f>
        <v>0.30666258211008296</v>
      </c>
      <c r="Q21" s="48">
        <f>B21/Stadium!$G$16</f>
        <v>0.33773006815241058</v>
      </c>
      <c r="R21" s="48">
        <f>B21/Stadium!$G$17</f>
        <v>0.33784438499822544</v>
      </c>
      <c r="S21" s="49">
        <f t="shared" si="0"/>
        <v>6.25E-2</v>
      </c>
      <c r="T21" s="50">
        <f t="shared" si="1"/>
        <v>0.24438476565372225</v>
      </c>
      <c r="U21" s="40">
        <f t="shared" si="2"/>
        <v>0.24438476565372225</v>
      </c>
      <c r="V21" s="51">
        <f t="shared" si="3"/>
        <v>24.438476565372223</v>
      </c>
      <c r="W21" s="15" t="s">
        <v>82</v>
      </c>
    </row>
    <row r="22" spans="1:23" x14ac:dyDescent="0.3">
      <c r="A22" s="15" t="s">
        <v>70</v>
      </c>
      <c r="B22" s="47">
        <f>VLOOKUP(A22, 'All attendance'!A:D, 4, FALSE)</f>
        <v>1599.9577212749643</v>
      </c>
      <c r="C22" s="48">
        <f>B22/Stadium!$G$2</f>
        <v>0.18646441005145298</v>
      </c>
      <c r="D22" s="48">
        <f>B22/Stadium!$G$3</f>
        <v>0.20135265761760948</v>
      </c>
      <c r="E22" s="48">
        <f>B22/Stadium!$G$4</f>
        <v>0.20894480311746627</v>
      </c>
      <c r="F22" s="48">
        <f>B22/Stadium!$G$5</f>
        <v>0.21036076789954014</v>
      </c>
      <c r="G22" s="48">
        <f>B22/Stadium!$G$6</f>
        <v>0.21114593368308526</v>
      </c>
      <c r="H22" s="48">
        <f>B22/Stadium!$G$7</f>
        <v>0.21448416044565252</v>
      </c>
      <c r="I22" s="48">
        <f>B22/Stadium!$G$8</f>
        <v>0.21701935159455171</v>
      </c>
      <c r="J22" s="48">
        <f>B22/Stadium!$G$9</f>
        <v>0.21744126746316478</v>
      </c>
      <c r="K22" s="48">
        <f>B22/Stadium!$G$10</f>
        <v>0.2225777793945185</v>
      </c>
      <c r="L22" s="48">
        <f>B22/Stadium!$G$11</f>
        <v>0.22498391481048124</v>
      </c>
      <c r="M22" s="48">
        <f>B22/Stadium!$G$12</f>
        <v>0.22860662938950818</v>
      </c>
      <c r="N22" s="48">
        <f>B22/Stadium!$G$13</f>
        <v>0.22959535350940954</v>
      </c>
      <c r="O22" s="48">
        <f>B22/Stadium!$G$14</f>
        <v>0.29237178943992514</v>
      </c>
      <c r="P22" s="48">
        <f>B22/Stadium!$G$15</f>
        <v>0.30010912279967578</v>
      </c>
      <c r="Q22" s="48">
        <f>B22/Stadium!$G$16</f>
        <v>0.33051268856762844</v>
      </c>
      <c r="R22" s="48">
        <f>B22/Stadium!$G$17</f>
        <v>0.33062456243265193</v>
      </c>
      <c r="S22" s="49">
        <f t="shared" si="0"/>
        <v>6.25E-2</v>
      </c>
      <c r="T22" s="50">
        <f t="shared" si="1"/>
        <v>0.23916219951352011</v>
      </c>
      <c r="U22" s="40">
        <f t="shared" si="2"/>
        <v>0.23916219951352011</v>
      </c>
      <c r="V22" s="51">
        <f t="shared" si="3"/>
        <v>23.916219951352012</v>
      </c>
      <c r="W22" s="15" t="s">
        <v>70</v>
      </c>
    </row>
    <row r="23" spans="1:23" x14ac:dyDescent="0.3">
      <c r="A23" s="15" t="s">
        <v>36</v>
      </c>
      <c r="B23" s="47">
        <f>VLOOKUP(A23, 'All attendance'!A:D, 4, FALSE)</f>
        <v>1592.5091285315984</v>
      </c>
      <c r="C23" s="48">
        <f>B23/Stadium!$G$2</f>
        <v>0.18559632620577582</v>
      </c>
      <c r="D23" s="48">
        <f>B23/Stadium!$G$3</f>
        <v>0.20041526163242507</v>
      </c>
      <c r="E23" s="48">
        <f>B23/Stadium!$G$4</f>
        <v>0.20797206194839052</v>
      </c>
      <c r="F23" s="48">
        <f>B23/Stadium!$G$5</f>
        <v>0.20938143471565027</v>
      </c>
      <c r="G23" s="48">
        <f>B23/Stadium!$G$6</f>
        <v>0.21016294516500755</v>
      </c>
      <c r="H23" s="48">
        <f>B23/Stadium!$G$7</f>
        <v>0.21348563083463923</v>
      </c>
      <c r="I23" s="48">
        <f>B23/Stadium!$G$8</f>
        <v>0.21600901941766831</v>
      </c>
      <c r="J23" s="48">
        <f>B23/Stadium!$G$9</f>
        <v>0.21642897105970496</v>
      </c>
      <c r="K23" s="48">
        <f>B23/Stadium!$G$10</f>
        <v>0.22154156999324048</v>
      </c>
      <c r="L23" s="48">
        <f>B23/Stadium!$G$11</f>
        <v>0.22393650366145665</v>
      </c>
      <c r="M23" s="48">
        <f>B23/Stadium!$G$12</f>
        <v>0.22754235271637266</v>
      </c>
      <c r="N23" s="48">
        <f>B23/Stadium!$G$13</f>
        <v>0.22852647383757801</v>
      </c>
      <c r="O23" s="48">
        <f>B23/Stadium!$G$14</f>
        <v>0.29101065447977653</v>
      </c>
      <c r="P23" s="48">
        <f>B23/Stadium!$G$15</f>
        <v>0.29871196673450034</v>
      </c>
      <c r="Q23" s="48">
        <f>B23/Stadium!$G$16</f>
        <v>0.32897398890018137</v>
      </c>
      <c r="R23" s="48">
        <f>B23/Stadium!$G$17</f>
        <v>0.32908534193715538</v>
      </c>
      <c r="S23" s="49">
        <f t="shared" si="0"/>
        <v>6.25E-2</v>
      </c>
      <c r="T23" s="50">
        <f t="shared" si="1"/>
        <v>0.23804878145247019</v>
      </c>
      <c r="U23" s="40">
        <f t="shared" si="2"/>
        <v>0.23804878145247019</v>
      </c>
      <c r="V23" s="51">
        <f t="shared" si="3"/>
        <v>23.80487814524702</v>
      </c>
      <c r="W23" s="15" t="s">
        <v>36</v>
      </c>
    </row>
    <row r="24" spans="1:23" x14ac:dyDescent="0.3">
      <c r="A24" s="15" t="s">
        <v>55</v>
      </c>
      <c r="B24" s="47">
        <f>VLOOKUP(A24, 'All attendance'!A:D, 4, FALSE)</f>
        <v>1466.218718951028</v>
      </c>
      <c r="C24" s="48">
        <f>B24/Stadium!$G$2</f>
        <v>0.17087802058777979</v>
      </c>
      <c r="D24" s="48">
        <f>B24/Stadium!$G$3</f>
        <v>0.18452177315924176</v>
      </c>
      <c r="E24" s="48">
        <f>B24/Stadium!$G$4</f>
        <v>0.19147929816185197</v>
      </c>
      <c r="F24" s="48">
        <f>B24/Stadium!$G$5</f>
        <v>0.19277690374307804</v>
      </c>
      <c r="G24" s="48">
        <f>B24/Stadium!$G$6</f>
        <v>0.19349643823702473</v>
      </c>
      <c r="H24" s="48">
        <f>B24/Stadium!$G$7</f>
        <v>0.19655562567822729</v>
      </c>
      <c r="I24" s="48">
        <f>B24/Stadium!$G$8</f>
        <v>0.19887890251811333</v>
      </c>
      <c r="J24" s="48">
        <f>B24/Stadium!$G$9</f>
        <v>0.1992655508252261</v>
      </c>
      <c r="K24" s="48">
        <f>B24/Stadium!$G$10</f>
        <v>0.20397270642297818</v>
      </c>
      <c r="L24" s="48">
        <f>B24/Stadium!$G$11</f>
        <v>0.20617771518058728</v>
      </c>
      <c r="M24" s="48">
        <f>B24/Stadium!$G$12</f>
        <v>0.20949761036191328</v>
      </c>
      <c r="N24" s="48">
        <f>B24/Stadium!$G$13</f>
        <v>0.21040368793708977</v>
      </c>
      <c r="O24" s="48">
        <f>B24/Stadium!$G$14</f>
        <v>0.26793269901433531</v>
      </c>
      <c r="P24" s="48">
        <f>B24/Stadium!$G$15</f>
        <v>0.27502327575644464</v>
      </c>
      <c r="Q24" s="48">
        <f>B24/Stadium!$G$16</f>
        <v>0.3028854352742022</v>
      </c>
      <c r="R24" s="48">
        <f>B24/Stadium!$G$17</f>
        <v>0.30298795770518749</v>
      </c>
      <c r="S24" s="49">
        <f t="shared" si="0"/>
        <v>6.25E-2</v>
      </c>
      <c r="T24" s="50">
        <f t="shared" si="1"/>
        <v>0.21917085003520509</v>
      </c>
      <c r="U24" s="40">
        <f t="shared" si="2"/>
        <v>0.21917085003520509</v>
      </c>
      <c r="V24" s="51">
        <f t="shared" si="3"/>
        <v>21.917085003520508</v>
      </c>
      <c r="W24" s="15" t="s">
        <v>55</v>
      </c>
    </row>
    <row r="25" spans="1:23" x14ac:dyDescent="0.3">
      <c r="A25" s="15" t="s">
        <v>51</v>
      </c>
      <c r="B25" s="47">
        <f>VLOOKUP(A25, 'All attendance'!A:D, 4, FALSE)</f>
        <v>1459.0303465704842</v>
      </c>
      <c r="C25" s="48">
        <f>B25/Stadium!$G$2</f>
        <v>0.1700402636912412</v>
      </c>
      <c r="D25" s="48">
        <f>B25/Stadium!$G$3</f>
        <v>0.18361712557792059</v>
      </c>
      <c r="E25" s="48">
        <f>B25/Stadium!$G$4</f>
        <v>0.19054054019855352</v>
      </c>
      <c r="F25" s="48">
        <f>B25/Stadium!$G$5</f>
        <v>0.19183178406034415</v>
      </c>
      <c r="G25" s="48">
        <f>B25/Stadium!$G$6</f>
        <v>0.19254779092105559</v>
      </c>
      <c r="H25" s="48">
        <f>B25/Stadium!$G$7</f>
        <v>0.19559198020528126</v>
      </c>
      <c r="I25" s="48">
        <f>B25/Stadium!$G$8</f>
        <v>0.19790386680791802</v>
      </c>
      <c r="J25" s="48">
        <f>B25/Stadium!$G$9</f>
        <v>0.19828861950970539</v>
      </c>
      <c r="K25" s="48">
        <f>B25/Stadium!$G$10</f>
        <v>0.20297269752233837</v>
      </c>
      <c r="L25" s="48">
        <f>B25/Stadium!$G$11</f>
        <v>0.20516689587093606</v>
      </c>
      <c r="M25" s="48">
        <f>B25/Stadium!$G$12</f>
        <v>0.20847051473378428</v>
      </c>
      <c r="N25" s="48">
        <f>B25/Stadium!$G$13</f>
        <v>0.20937215011835728</v>
      </c>
      <c r="O25" s="48">
        <f>B25/Stadium!$G$14</f>
        <v>0.26661911599391314</v>
      </c>
      <c r="P25" s="48">
        <f>B25/Stadium!$G$15</f>
        <v>0.27367493004655719</v>
      </c>
      <c r="Q25" s="48">
        <f>B25/Stadium!$G$16</f>
        <v>0.30140049085953008</v>
      </c>
      <c r="R25" s="48">
        <f>B25/Stadium!$G$17</f>
        <v>0.30150251065785777</v>
      </c>
      <c r="S25" s="49">
        <f t="shared" si="0"/>
        <v>6.25E-2</v>
      </c>
      <c r="T25" s="50">
        <f t="shared" si="1"/>
        <v>0.21809632979845589</v>
      </c>
      <c r="U25" s="40">
        <f t="shared" si="2"/>
        <v>0.21809632979845589</v>
      </c>
      <c r="V25" s="51">
        <f t="shared" si="3"/>
        <v>21.809632979845588</v>
      </c>
      <c r="W25" s="15" t="s">
        <v>51</v>
      </c>
    </row>
    <row r="26" spans="1:23" x14ac:dyDescent="0.3">
      <c r="A26" s="15" t="s">
        <v>85</v>
      </c>
      <c r="B26" s="47">
        <f>VLOOKUP(A26, 'All attendance'!A:D, 4, FALSE)</f>
        <v>1448.4698973032234</v>
      </c>
      <c r="C26" s="48">
        <f>B26/Stadium!$G$2</f>
        <v>0.16880951370559225</v>
      </c>
      <c r="D26" s="48">
        <f>B26/Stadium!$G$3</f>
        <v>0.18228810638114806</v>
      </c>
      <c r="E26" s="48">
        <f>B26/Stadium!$G$4</f>
        <v>0.18916140938550835</v>
      </c>
      <c r="F26" s="48">
        <f>B26/Stadium!$G$5</f>
        <v>0.19044330723518474</v>
      </c>
      <c r="G26" s="48">
        <f>B26/Stadium!$G$6</f>
        <v>0.19115413164431433</v>
      </c>
      <c r="H26" s="48">
        <f>B26/Stadium!$G$7</f>
        <v>0.19417628711233356</v>
      </c>
      <c r="I26" s="48">
        <f>B26/Stadium!$G$8</f>
        <v>0.1964714402993589</v>
      </c>
      <c r="J26" s="48">
        <f>B26/Stadium!$G$9</f>
        <v>0.1968534081643557</v>
      </c>
      <c r="K26" s="48">
        <f>B26/Stadium!$G$10</f>
        <v>0.20150358286008199</v>
      </c>
      <c r="L26" s="48">
        <f>B26/Stadium!$G$11</f>
        <v>0.20368189961965233</v>
      </c>
      <c r="M26" s="48">
        <f>B26/Stadium!$G$12</f>
        <v>0.20696160691720547</v>
      </c>
      <c r="N26" s="48">
        <f>B26/Stadium!$G$13</f>
        <v>0.20785671627251615</v>
      </c>
      <c r="O26" s="48">
        <f>B26/Stadium!$G$14</f>
        <v>0.26468932909485798</v>
      </c>
      <c r="P26" s="48">
        <f>B26/Stadium!$G$15</f>
        <v>0.27169407322526407</v>
      </c>
      <c r="Q26" s="48">
        <f>B26/Stadium!$G$16</f>
        <v>0.29921895666434956</v>
      </c>
      <c r="R26" s="48">
        <f>B26/Stadium!$G$17</f>
        <v>0.29932023804424274</v>
      </c>
      <c r="S26" s="49">
        <f t="shared" si="0"/>
        <v>6.25E-2</v>
      </c>
      <c r="T26" s="50">
        <f t="shared" si="1"/>
        <v>0.21651775041412288</v>
      </c>
      <c r="U26" s="40">
        <f t="shared" si="2"/>
        <v>0.21651775041412288</v>
      </c>
      <c r="V26" s="51">
        <f t="shared" si="3"/>
        <v>21.651775041412289</v>
      </c>
      <c r="W26" s="15" t="s">
        <v>85</v>
      </c>
    </row>
    <row r="27" spans="1:23" x14ac:dyDescent="0.3">
      <c r="A27" s="15" t="s">
        <v>26</v>
      </c>
      <c r="B27" s="47">
        <f>VLOOKUP(A27, 'All attendance'!A:D, 4, FALSE)</f>
        <v>1434.0692846660495</v>
      </c>
      <c r="C27" s="48">
        <f>B27/Stadium!$G$2</f>
        <v>0.16713121827061642</v>
      </c>
      <c r="D27" s="48">
        <f>B27/Stadium!$G$3</f>
        <v>0.18047580747645819</v>
      </c>
      <c r="E27" s="48">
        <f>B27/Stadium!$G$4</f>
        <v>0.18728077645862862</v>
      </c>
      <c r="F27" s="48">
        <f>B27/Stadium!$G$5</f>
        <v>0.18854992974633103</v>
      </c>
      <c r="G27" s="48">
        <f>B27/Stadium!$G$6</f>
        <v>0.1892536871760308</v>
      </c>
      <c r="H27" s="48">
        <f>B27/Stadium!$G$7</f>
        <v>0.19224579653104118</v>
      </c>
      <c r="I27" s="48">
        <f>B27/Stadium!$G$8</f>
        <v>0.194518131424051</v>
      </c>
      <c r="J27" s="48">
        <f>B27/Stadium!$G$9</f>
        <v>0.19489630178433343</v>
      </c>
      <c r="K27" s="48">
        <f>B27/Stadium!$G$10</f>
        <v>0.19950024468427782</v>
      </c>
      <c r="L27" s="48">
        <f>B27/Stadium!$G$11</f>
        <v>0.20165690473153811</v>
      </c>
      <c r="M27" s="48">
        <f>B27/Stadium!$G$12</f>
        <v>0.20490400534914346</v>
      </c>
      <c r="N27" s="48">
        <f>B27/Stadium!$G$13</f>
        <v>0.20579021557364185</v>
      </c>
      <c r="O27" s="48">
        <f>B27/Stadium!$G$14</f>
        <v>0.26205780150523728</v>
      </c>
      <c r="P27" s="48">
        <f>B27/Stadium!$G$15</f>
        <v>0.26899290483259158</v>
      </c>
      <c r="Q27" s="48">
        <f>B27/Stadium!$G$16</f>
        <v>0.29624413730728522</v>
      </c>
      <c r="R27" s="48">
        <f>B27/Stadium!$G$17</f>
        <v>0.29634441175294945</v>
      </c>
      <c r="S27" s="49">
        <f t="shared" si="0"/>
        <v>6.25E-2</v>
      </c>
      <c r="T27" s="50">
        <f t="shared" si="1"/>
        <v>0.2143651421627597</v>
      </c>
      <c r="U27" s="40">
        <f t="shared" si="2"/>
        <v>0.2143651421627597</v>
      </c>
      <c r="V27" s="51">
        <f t="shared" si="3"/>
        <v>21.43651421627597</v>
      </c>
      <c r="W27" s="15" t="s">
        <v>26</v>
      </c>
    </row>
    <row r="28" spans="1:23" x14ac:dyDescent="0.3">
      <c r="A28" s="15" t="s">
        <v>78</v>
      </c>
      <c r="B28" s="47">
        <f>VLOOKUP(A28, 'All attendance'!A:D, 4, FALSE)</f>
        <v>1425.6275462235685</v>
      </c>
      <c r="C28" s="48">
        <f>B28/Stadium!$G$2</f>
        <v>0.16614738991218231</v>
      </c>
      <c r="D28" s="48">
        <f>B28/Stadium!$G$3</f>
        <v>0.17941342535991589</v>
      </c>
      <c r="E28" s="48">
        <f>B28/Stadium!$G$4</f>
        <v>0.18617833646700949</v>
      </c>
      <c r="F28" s="48">
        <f>B28/Stadium!$G$5</f>
        <v>0.18744001880458921</v>
      </c>
      <c r="G28" s="48">
        <f>B28/Stadium!$G$6</f>
        <v>0.18813963352220947</v>
      </c>
      <c r="H28" s="48">
        <f>B28/Stadium!$G$7</f>
        <v>0.1911141296385595</v>
      </c>
      <c r="I28" s="48">
        <f>B28/Stadium!$G$8</f>
        <v>0.19337308829024985</v>
      </c>
      <c r="J28" s="48">
        <f>B28/Stadium!$G$9</f>
        <v>0.19374903252707901</v>
      </c>
      <c r="K28" s="48">
        <f>B28/Stadium!$G$10</f>
        <v>0.19832587402949609</v>
      </c>
      <c r="L28" s="48">
        <f>B28/Stadium!$G$11</f>
        <v>0.2004698387626436</v>
      </c>
      <c r="M28" s="48">
        <f>B28/Stadium!$G$12</f>
        <v>0.20369782511958992</v>
      </c>
      <c r="N28" s="48">
        <f>B28/Stadium!$G$13</f>
        <v>0.20457881861223284</v>
      </c>
      <c r="O28" s="48">
        <f>B28/Stadium!$G$14</f>
        <v>0.26051518188373551</v>
      </c>
      <c r="P28" s="48">
        <f>B28/Stadium!$G$15</f>
        <v>0.2674094612920595</v>
      </c>
      <c r="Q28" s="48">
        <f>B28/Stadium!$G$16</f>
        <v>0.29450027768417864</v>
      </c>
      <c r="R28" s="48">
        <f>B28/Stadium!$G$17</f>
        <v>0.29459996185805343</v>
      </c>
      <c r="S28" s="49">
        <f t="shared" si="0"/>
        <v>6.25E-2</v>
      </c>
      <c r="T28" s="50">
        <f t="shared" si="1"/>
        <v>0.21310326836023649</v>
      </c>
      <c r="U28" s="40">
        <f t="shared" si="2"/>
        <v>0.21310326836023649</v>
      </c>
      <c r="V28" s="51">
        <f t="shared" si="3"/>
        <v>21.310326836023648</v>
      </c>
      <c r="W28" s="15" t="s">
        <v>78</v>
      </c>
    </row>
    <row r="29" spans="1:23" x14ac:dyDescent="0.3">
      <c r="A29" s="31" t="s">
        <v>12</v>
      </c>
      <c r="B29" s="47">
        <f>VLOOKUP(A29, 'All attendance'!A:D, 4, FALSE)</f>
        <v>1412.0545550023242</v>
      </c>
      <c r="C29" s="48">
        <f>B29/Stadium!$G$2</f>
        <v>0.16456554823783728</v>
      </c>
      <c r="D29" s="48">
        <f>B29/Stadium!$G$3</f>
        <v>0.17770528156469098</v>
      </c>
      <c r="E29" s="48">
        <f>B29/Stadium!$G$4</f>
        <v>0.18440578589224924</v>
      </c>
      <c r="F29" s="48">
        <f>B29/Stadium!$G$5</f>
        <v>0.18565545611394546</v>
      </c>
      <c r="G29" s="48">
        <f>B29/Stadium!$G$6</f>
        <v>0.18634841000037902</v>
      </c>
      <c r="H29" s="48">
        <f>B29/Stadium!$G$7</f>
        <v>0.18929458679182418</v>
      </c>
      <c r="I29" s="48">
        <f>B29/Stadium!$G$8</f>
        <v>0.19153203854570677</v>
      </c>
      <c r="J29" s="48">
        <f>B29/Stadium!$G$9</f>
        <v>0.19190440352521893</v>
      </c>
      <c r="K29" s="48">
        <f>B29/Stadium!$G$10</f>
        <v>0.19643767023161168</v>
      </c>
      <c r="L29" s="48">
        <f>B29/Stadium!$G$11</f>
        <v>0.19856122289108766</v>
      </c>
      <c r="M29" s="48">
        <f>B29/Stadium!$G$12</f>
        <v>0.20175847651520964</v>
      </c>
      <c r="N29" s="48">
        <f>B29/Stadium!$G$13</f>
        <v>0.20263108232133983</v>
      </c>
      <c r="O29" s="48">
        <f>B29/Stadium!$G$14</f>
        <v>0.25803489151190911</v>
      </c>
      <c r="P29" s="48">
        <f>B29/Stadium!$G$15</f>
        <v>0.26486353246218436</v>
      </c>
      <c r="Q29" s="48">
        <f>B29/Stadium!$G$16</f>
        <v>0.29169642495683062</v>
      </c>
      <c r="R29" s="48">
        <f>B29/Stadium!$G$17</f>
        <v>0.29179516006625977</v>
      </c>
      <c r="S29" s="49">
        <f t="shared" si="0"/>
        <v>6.25E-2</v>
      </c>
      <c r="T29" s="50">
        <f t="shared" si="1"/>
        <v>0.21107437322676778</v>
      </c>
      <c r="U29" s="40">
        <f t="shared" si="2"/>
        <v>0.21107437322676778</v>
      </c>
      <c r="V29" s="51">
        <f t="shared" si="3"/>
        <v>21.107437322676777</v>
      </c>
      <c r="W29" s="31" t="s">
        <v>12</v>
      </c>
    </row>
    <row r="30" spans="1:23" x14ac:dyDescent="0.3">
      <c r="A30" s="15" t="s">
        <v>93</v>
      </c>
      <c r="B30" s="47">
        <f>VLOOKUP(A30, 'All attendance'!A:D, 4, FALSE)</f>
        <v>1407.4860847863933</v>
      </c>
      <c r="C30" s="48">
        <f>B30/Stadium!$G$2</f>
        <v>0.1640331234791553</v>
      </c>
      <c r="D30" s="48">
        <f>B30/Stadium!$G$3</f>
        <v>0.17713034536044456</v>
      </c>
      <c r="E30" s="48">
        <f>B30/Stadium!$G$4</f>
        <v>0.18380917130854948</v>
      </c>
      <c r="F30" s="48">
        <f>B30/Stadium!$G$5</f>
        <v>0.18505479842782638</v>
      </c>
      <c r="G30" s="48">
        <f>B30/Stadium!$G$6</f>
        <v>0.18574551037595807</v>
      </c>
      <c r="H30" s="48">
        <f>B30/Stadium!$G$7</f>
        <v>0.18868215529706939</v>
      </c>
      <c r="I30" s="48">
        <f>B30/Stadium!$G$8</f>
        <v>0.19091236814388499</v>
      </c>
      <c r="J30" s="48">
        <f>B30/Stadium!$G$9</f>
        <v>0.19128352839776361</v>
      </c>
      <c r="K30" s="48">
        <f>B30/Stadium!$G$10</f>
        <v>0.19580212846549452</v>
      </c>
      <c r="L30" s="48">
        <f>B30/Stadium!$G$11</f>
        <v>0.19791881071968595</v>
      </c>
      <c r="M30" s="48">
        <f>B30/Stadium!$G$12</f>
        <v>0.20110572015568656</v>
      </c>
      <c r="N30" s="48">
        <f>B30/Stadium!$G$13</f>
        <v>0.2019755027892832</v>
      </c>
      <c r="O30" s="48">
        <f>B30/Stadium!$G$14</f>
        <v>0.25720006206968465</v>
      </c>
      <c r="P30" s="48">
        <f>B30/Stadium!$G$15</f>
        <v>0.26400661007554344</v>
      </c>
      <c r="Q30" s="48">
        <f>B30/Stadium!$G$16</f>
        <v>0.29075268916079644</v>
      </c>
      <c r="R30" s="48">
        <f>B30/Stadium!$G$17</f>
        <v>0.29085110482902193</v>
      </c>
      <c r="S30" s="49">
        <f t="shared" si="0"/>
        <v>6.25E-2</v>
      </c>
      <c r="T30" s="50">
        <f t="shared" si="1"/>
        <v>0.21039147681599052</v>
      </c>
      <c r="U30" s="40">
        <f t="shared" si="2"/>
        <v>0.21039147681599052</v>
      </c>
      <c r="V30" s="51">
        <f t="shared" si="3"/>
        <v>21.039147681599051</v>
      </c>
      <c r="W30" s="15" t="s">
        <v>93</v>
      </c>
    </row>
    <row r="31" spans="1:23" x14ac:dyDescent="0.3">
      <c r="A31" s="15" t="s">
        <v>72</v>
      </c>
      <c r="B31" s="47">
        <f>VLOOKUP(A31, 'All attendance'!A:D, 4, FALSE)</f>
        <v>1397.0911598023183</v>
      </c>
      <c r="C31" s="48">
        <f>B31/Stadium!$G$2</f>
        <v>0.16282166424563249</v>
      </c>
      <c r="D31" s="48">
        <f>B31/Stadium!$G$3</f>
        <v>0.17582215718556499</v>
      </c>
      <c r="E31" s="48">
        <f>B31/Stadium!$G$4</f>
        <v>0.18245165696592824</v>
      </c>
      <c r="F31" s="48">
        <f>B31/Stadium!$G$5</f>
        <v>0.18368808456230898</v>
      </c>
      <c r="G31" s="48">
        <f>B31/Stadium!$G$6</f>
        <v>0.18437369528850742</v>
      </c>
      <c r="H31" s="48">
        <f>B31/Stadium!$G$7</f>
        <v>0.18728865175103307</v>
      </c>
      <c r="I31" s="48">
        <f>B31/Stadium!$G$8</f>
        <v>0.18950239346147882</v>
      </c>
      <c r="J31" s="48">
        <f>B31/Stadium!$G$9</f>
        <v>0.18987081252804636</v>
      </c>
      <c r="K31" s="48">
        <f>B31/Stadium!$G$10</f>
        <v>0.19435604067882206</v>
      </c>
      <c r="L31" s="48">
        <f>B31/Stadium!$G$11</f>
        <v>0.19645709027171385</v>
      </c>
      <c r="M31" s="48">
        <f>B31/Stadium!$G$12</f>
        <v>0.19962046293184407</v>
      </c>
      <c r="N31" s="48">
        <f>B31/Stadium!$G$13</f>
        <v>0.20048382182503832</v>
      </c>
      <c r="O31" s="48">
        <f>B31/Stadium!$G$14</f>
        <v>0.25530052261418834</v>
      </c>
      <c r="P31" s="48">
        <f>B31/Stadium!$G$15</f>
        <v>0.26205680116680974</v>
      </c>
      <c r="Q31" s="48">
        <f>B31/Stadium!$G$16</f>
        <v>0.2886053482915592</v>
      </c>
      <c r="R31" s="48">
        <f>B31/Stadium!$G$17</f>
        <v>0.28870303711530676</v>
      </c>
      <c r="S31" s="49">
        <f t="shared" si="0"/>
        <v>6.25E-2</v>
      </c>
      <c r="T31" s="50">
        <f t="shared" si="1"/>
        <v>0.20883764005523642</v>
      </c>
      <c r="U31" s="40">
        <f t="shared" si="2"/>
        <v>0.20883764005523642</v>
      </c>
      <c r="V31" s="51">
        <f t="shared" si="3"/>
        <v>20.883764005523641</v>
      </c>
      <c r="W31" s="15" t="s">
        <v>72</v>
      </c>
    </row>
    <row r="32" spans="1:23" x14ac:dyDescent="0.3">
      <c r="A32" s="15" t="s">
        <v>81</v>
      </c>
      <c r="B32" s="47">
        <f>VLOOKUP(A32, 'All attendance'!A:D, 4, FALSE)</f>
        <v>1389.4108330624922</v>
      </c>
      <c r="C32" s="48">
        <f>B32/Stadium!$G$2</f>
        <v>0.16192657334697871</v>
      </c>
      <c r="D32" s="48">
        <f>B32/Stadium!$G$3</f>
        <v>0.17485559776973039</v>
      </c>
      <c r="E32" s="48">
        <f>B32/Stadium!$G$4</f>
        <v>0.18144865273825903</v>
      </c>
      <c r="F32" s="48">
        <f>B32/Stadium!$G$5</f>
        <v>0.18267828323492033</v>
      </c>
      <c r="G32" s="48">
        <f>B32/Stadium!$G$6</f>
        <v>0.18336012490542286</v>
      </c>
      <c r="H32" s="48">
        <f>B32/Stadium!$G$7</f>
        <v>0.18625905677434379</v>
      </c>
      <c r="I32" s="48">
        <f>B32/Stadium!$G$8</f>
        <v>0.18846062872798128</v>
      </c>
      <c r="J32" s="48">
        <f>B32/Stadium!$G$9</f>
        <v>0.18882702245870112</v>
      </c>
      <c r="K32" s="48">
        <f>B32/Stadium!$G$10</f>
        <v>0.19328759365172649</v>
      </c>
      <c r="L32" s="48">
        <f>B32/Stadium!$G$11</f>
        <v>0.19537709299805292</v>
      </c>
      <c r="M32" s="48">
        <f>B32/Stadium!$G$12</f>
        <v>0.19852307542887768</v>
      </c>
      <c r="N32" s="48">
        <f>B32/Stadium!$G$13</f>
        <v>0.19938168811897203</v>
      </c>
      <c r="O32" s="48">
        <f>B32/Stadium!$G$14</f>
        <v>0.25389704123305729</v>
      </c>
      <c r="P32" s="48">
        <f>B32/Stadium!$G$15</f>
        <v>0.26061617802405113</v>
      </c>
      <c r="Q32" s="48">
        <f>B32/Stadium!$G$16</f>
        <v>0.28701877796779152</v>
      </c>
      <c r="R32" s="48">
        <f>B32/Stadium!$G$17</f>
        <v>0.28711592975995032</v>
      </c>
      <c r="S32" s="49">
        <f t="shared" si="0"/>
        <v>6.25E-2</v>
      </c>
      <c r="T32" s="50">
        <f t="shared" si="1"/>
        <v>0.20768958232117604</v>
      </c>
      <c r="U32" s="40">
        <f t="shared" si="2"/>
        <v>0.20768958232117604</v>
      </c>
      <c r="V32" s="51">
        <f t="shared" si="3"/>
        <v>20.768958232117605</v>
      </c>
      <c r="W32" s="15" t="s">
        <v>81</v>
      </c>
    </row>
    <row r="33" spans="1:23" x14ac:dyDescent="0.3">
      <c r="A33" s="15" t="s">
        <v>68</v>
      </c>
      <c r="B33" s="47">
        <f>VLOOKUP(A33, 'All attendance'!A:D, 4, FALSE)</f>
        <v>1359.4178329492063</v>
      </c>
      <c r="C33" s="48">
        <f>B33/Stadium!$G$2</f>
        <v>0.15843108906171871</v>
      </c>
      <c r="D33" s="48">
        <f>B33/Stadium!$G$3</f>
        <v>0.17108101660272121</v>
      </c>
      <c r="E33" s="48">
        <f>B33/Stadium!$G$4</f>
        <v>0.17753174829744744</v>
      </c>
      <c r="F33" s="48">
        <f>B33/Stadium!$G$5</f>
        <v>0.17873483494779055</v>
      </c>
      <c r="G33" s="48">
        <f>B33/Stadium!$G$6</f>
        <v>0.17940195780596344</v>
      </c>
      <c r="H33" s="48">
        <f>B33/Stadium!$G$7</f>
        <v>0.18223831087399703</v>
      </c>
      <c r="I33" s="48">
        <f>B33/Stadium!$G$8</f>
        <v>0.18439235782906419</v>
      </c>
      <c r="J33" s="48">
        <f>B33/Stadium!$G$9</f>
        <v>0.18475084227410302</v>
      </c>
      <c r="K33" s="48">
        <f>B33/Stadium!$G$10</f>
        <v>0.18911512379591369</v>
      </c>
      <c r="L33" s="48">
        <f>B33/Stadium!$G$11</f>
        <v>0.1911595174379806</v>
      </c>
      <c r="M33" s="48">
        <f>B33/Stadium!$G$12</f>
        <v>0.19423758802505203</v>
      </c>
      <c r="N33" s="48">
        <f>B33/Stadium!$G$13</f>
        <v>0.1950776659737305</v>
      </c>
      <c r="O33" s="48">
        <f>B33/Stadium!$G$14</f>
        <v>0.24841620446019216</v>
      </c>
      <c r="P33" s="48">
        <f>B33/Stadium!$G$15</f>
        <v>0.25499029626827818</v>
      </c>
      <c r="Q33" s="48">
        <f>B33/Stadium!$G$16</f>
        <v>0.28082294730687141</v>
      </c>
      <c r="R33" s="48">
        <f>B33/Stadium!$G$17</f>
        <v>0.28091800189808441</v>
      </c>
      <c r="S33" s="49">
        <f t="shared" si="0"/>
        <v>6.25E-2</v>
      </c>
      <c r="T33" s="50">
        <f t="shared" si="1"/>
        <v>0.20320621892868179</v>
      </c>
      <c r="U33" s="40">
        <f t="shared" si="2"/>
        <v>0.20320621892868179</v>
      </c>
      <c r="V33" s="51">
        <f t="shared" si="3"/>
        <v>20.320621892868179</v>
      </c>
      <c r="W33" s="15" t="s">
        <v>68</v>
      </c>
    </row>
    <row r="34" spans="1:23" x14ac:dyDescent="0.3">
      <c r="A34" s="15" t="s">
        <v>95</v>
      </c>
      <c r="B34" s="47">
        <f>VLOOKUP(A34, 'All attendance'!A:D, 4, FALSE)</f>
        <v>1279.3702896005022</v>
      </c>
      <c r="C34" s="48">
        <f>B34/Stadium!$G$2</f>
        <v>0.14910208133350822</v>
      </c>
      <c r="D34" s="48">
        <f>B34/Stadium!$G$3</f>
        <v>0.16100713441527284</v>
      </c>
      <c r="E34" s="48">
        <f>B34/Stadium!$G$4</f>
        <v>0.16707802320044696</v>
      </c>
      <c r="F34" s="48">
        <f>B34/Stadium!$G$5</f>
        <v>0.16821026766492092</v>
      </c>
      <c r="G34" s="48">
        <f>B34/Stadium!$G$6</f>
        <v>0.16883810786502199</v>
      </c>
      <c r="H34" s="48">
        <f>B34/Stadium!$G$7</f>
        <v>0.17150744598764098</v>
      </c>
      <c r="I34" s="48">
        <f>B34/Stadium!$G$8</f>
        <v>0.17353465470149071</v>
      </c>
      <c r="J34" s="48">
        <f>B34/Stadium!$G$9</f>
        <v>0.17387203025825504</v>
      </c>
      <c r="K34" s="48">
        <f>B34/Stadium!$G$10</f>
        <v>0.17797932676351258</v>
      </c>
      <c r="L34" s="48">
        <f>B34/Stadium!$G$11</f>
        <v>0.17990333895646304</v>
      </c>
      <c r="M34" s="48">
        <f>B34/Stadium!$G$12</f>
        <v>0.1828001613777557</v>
      </c>
      <c r="N34" s="48">
        <f>B34/Stadium!$G$13</f>
        <v>0.18359077243378111</v>
      </c>
      <c r="O34" s="48">
        <f>B34/Stadium!$G$14</f>
        <v>0.23378854075512825</v>
      </c>
      <c r="P34" s="48">
        <f>B34/Stadium!$G$15</f>
        <v>0.23997552575452658</v>
      </c>
      <c r="Q34" s="48">
        <f>B34/Stadium!$G$16</f>
        <v>0.26428705488070703</v>
      </c>
      <c r="R34" s="48">
        <f>B34/Stadium!$G$17</f>
        <v>0.26437651230648179</v>
      </c>
      <c r="S34" s="49">
        <f t="shared" si="0"/>
        <v>6.25E-2</v>
      </c>
      <c r="T34" s="50">
        <f t="shared" si="1"/>
        <v>0.19124068616593209</v>
      </c>
      <c r="U34" s="40">
        <f t="shared" si="2"/>
        <v>0.19124068616593209</v>
      </c>
      <c r="V34" s="51">
        <f t="shared" si="3"/>
        <v>19.12406861659321</v>
      </c>
      <c r="W34" s="15" t="s">
        <v>95</v>
      </c>
    </row>
    <row r="35" spans="1:23" x14ac:dyDescent="0.3">
      <c r="A35" s="52" t="s">
        <v>41</v>
      </c>
      <c r="B35" s="47">
        <f>VLOOKUP(A35, 'All attendance'!A:D, 4, FALSE)</f>
        <v>1279.3702896005022</v>
      </c>
      <c r="C35" s="48">
        <f>B35/Stadium!$G$2</f>
        <v>0.14910208133350822</v>
      </c>
      <c r="D35" s="48">
        <f>B35/Stadium!$G$3</f>
        <v>0.16100713441527284</v>
      </c>
      <c r="E35" s="48">
        <f>B35/Stadium!$G$4</f>
        <v>0.16707802320044696</v>
      </c>
      <c r="F35" s="48">
        <f>B35/Stadium!$G$5</f>
        <v>0.16821026766492092</v>
      </c>
      <c r="G35" s="48">
        <f>B35/Stadium!$G$6</f>
        <v>0.16883810786502199</v>
      </c>
      <c r="H35" s="48">
        <f>B35/Stadium!$G$7</f>
        <v>0.17150744598764098</v>
      </c>
      <c r="I35" s="48">
        <f>B35/Stadium!$G$8</f>
        <v>0.17353465470149071</v>
      </c>
      <c r="J35" s="48">
        <f>B35/Stadium!$G$9</f>
        <v>0.17387203025825504</v>
      </c>
      <c r="K35" s="48">
        <f>B35/Stadium!$G$10</f>
        <v>0.17797932676351258</v>
      </c>
      <c r="L35" s="48">
        <f>B35/Stadium!$G$11</f>
        <v>0.17990333895646304</v>
      </c>
      <c r="M35" s="48">
        <f>B35/Stadium!$G$12</f>
        <v>0.1828001613777557</v>
      </c>
      <c r="N35" s="48">
        <f>B35/Stadium!$G$13</f>
        <v>0.18359077243378111</v>
      </c>
      <c r="O35" s="48">
        <f>B35/Stadium!$G$14</f>
        <v>0.23378854075512825</v>
      </c>
      <c r="P35" s="48">
        <f>B35/Stadium!$G$15</f>
        <v>0.23997552575452658</v>
      </c>
      <c r="Q35" s="48">
        <f>B35/Stadium!$G$16</f>
        <v>0.26428705488070703</v>
      </c>
      <c r="R35" s="48">
        <f>B35/Stadium!$G$17</f>
        <v>0.26437651230648179</v>
      </c>
      <c r="S35" s="49">
        <f t="shared" si="0"/>
        <v>6.25E-2</v>
      </c>
      <c r="T35" s="50">
        <f t="shared" si="1"/>
        <v>0.19124068616593209</v>
      </c>
      <c r="U35" s="40">
        <f t="shared" si="2"/>
        <v>0.19124068616593209</v>
      </c>
      <c r="V35" s="51">
        <f t="shared" si="3"/>
        <v>19.12406861659321</v>
      </c>
      <c r="W35" s="52" t="s">
        <v>41</v>
      </c>
    </row>
    <row r="36" spans="1:23" x14ac:dyDescent="0.3">
      <c r="A36" s="15" t="s">
        <v>64</v>
      </c>
      <c r="B36" s="47">
        <f>VLOOKUP(A36, 'All attendance'!A:D, 4, FALSE)</f>
        <v>1237.4926459544681</v>
      </c>
      <c r="C36" s="48">
        <f>B36/Stadium!$G$2</f>
        <v>0.14422152104559</v>
      </c>
      <c r="D36" s="48">
        <f>B36/Stadium!$G$3</f>
        <v>0.15573688587634721</v>
      </c>
      <c r="E36" s="48">
        <f>B36/Stadium!$G$4</f>
        <v>0.16160905618319898</v>
      </c>
      <c r="F36" s="48">
        <f>B36/Stadium!$G$5</f>
        <v>0.16270423887549576</v>
      </c>
      <c r="G36" s="48">
        <f>B36/Stadium!$G$6</f>
        <v>0.16331152797449638</v>
      </c>
      <c r="H36" s="48">
        <f>B36/Stadium!$G$7</f>
        <v>0.1658934906190552</v>
      </c>
      <c r="I36" s="48">
        <f>B36/Stadium!$G$8</f>
        <v>0.16785434268479077</v>
      </c>
      <c r="J36" s="48">
        <f>B36/Stadium!$G$9</f>
        <v>0.16818067492324773</v>
      </c>
      <c r="K36" s="48">
        <f>B36/Stadium!$G$10</f>
        <v>0.17215352724077171</v>
      </c>
      <c r="L36" s="48">
        <f>B36/Stadium!$G$11</f>
        <v>0.17401456071861368</v>
      </c>
      <c r="M36" s="48">
        <f>B36/Stadium!$G$12</f>
        <v>0.17681656141546048</v>
      </c>
      <c r="N36" s="48">
        <f>B36/Stadium!$G$13</f>
        <v>0.17758129338992837</v>
      </c>
      <c r="O36" s="48">
        <f>B36/Stadium!$G$14</f>
        <v>0.22613593753473707</v>
      </c>
      <c r="P36" s="48">
        <f>B36/Stadium!$G$15</f>
        <v>0.23212040387698488</v>
      </c>
      <c r="Q36" s="48">
        <f>B36/Stadium!$G$16</f>
        <v>0.2556361434170602</v>
      </c>
      <c r="R36" s="48">
        <f>B36/Stadium!$G$17</f>
        <v>0.25572267263180137</v>
      </c>
      <c r="S36" s="49">
        <f t="shared" si="0"/>
        <v>6.25E-2</v>
      </c>
      <c r="T36" s="50">
        <f t="shared" si="1"/>
        <v>0.18498080240047371</v>
      </c>
      <c r="U36" s="40">
        <f t="shared" si="2"/>
        <v>0.18498080240047371</v>
      </c>
      <c r="V36" s="51">
        <f t="shared" si="3"/>
        <v>18.498080240047372</v>
      </c>
      <c r="W36" s="15" t="s">
        <v>64</v>
      </c>
    </row>
    <row r="37" spans="1:23" x14ac:dyDescent="0.3">
      <c r="A37" s="15" t="s">
        <v>98</v>
      </c>
      <c r="B37" s="47">
        <f>VLOOKUP(A37, 'All attendance'!A:D, 4, FALSE)</f>
        <v>1230.4413114907484</v>
      </c>
      <c r="C37" s="48">
        <f>B37/Stadium!$G$2</f>
        <v>0.1433997350050156</v>
      </c>
      <c r="D37" s="48">
        <f>B37/Stadium!$G$3</f>
        <v>0.15484948434370596</v>
      </c>
      <c r="E37" s="48">
        <f>B37/Stadium!$G$4</f>
        <v>0.16068819454314062</v>
      </c>
      <c r="F37" s="48">
        <f>B37/Stadium!$G$5</f>
        <v>0.16177713679474667</v>
      </c>
      <c r="G37" s="48">
        <f>B37/Stadium!$G$6</f>
        <v>0.16238096551071615</v>
      </c>
      <c r="H37" s="48">
        <f>B37/Stadium!$G$7</f>
        <v>0.16494821592062928</v>
      </c>
      <c r="I37" s="48">
        <f>B37/Stadium!$G$8</f>
        <v>0.16689789489067447</v>
      </c>
      <c r="J37" s="48">
        <f>B37/Stadium!$G$9</f>
        <v>0.16722236766130577</v>
      </c>
      <c r="K37" s="48">
        <f>B37/Stadium!$G$10</f>
        <v>0.17117258234089516</v>
      </c>
      <c r="L37" s="48">
        <f>B37/Stadium!$G$11</f>
        <v>0.17302301149753707</v>
      </c>
      <c r="M37" s="48">
        <f>B37/Stadium!$G$12</f>
        <v>0.17580904616489218</v>
      </c>
      <c r="N37" s="48">
        <f>B37/Stadium!$G$13</f>
        <v>0.17656942063392786</v>
      </c>
      <c r="O37" s="48">
        <f>B37/Stadium!$G$14</f>
        <v>0.22484739643912968</v>
      </c>
      <c r="P37" s="48">
        <f>B37/Stadium!$G$15</f>
        <v>0.23079776280195216</v>
      </c>
      <c r="Q37" s="48">
        <f>B37/Stadium!$G$16</f>
        <v>0.25417950773187697</v>
      </c>
      <c r="R37" s="48">
        <f>B37/Stadium!$G$17</f>
        <v>0.25426554389606465</v>
      </c>
      <c r="S37" s="49">
        <f t="shared" si="0"/>
        <v>6.25E-2</v>
      </c>
      <c r="T37" s="50">
        <f t="shared" si="1"/>
        <v>0.18392676663601318</v>
      </c>
      <c r="U37" s="40">
        <f t="shared" si="2"/>
        <v>0.18392676663601318</v>
      </c>
      <c r="V37" s="51">
        <f t="shared" si="3"/>
        <v>18.392676663601318</v>
      </c>
      <c r="W37" s="15" t="s">
        <v>98</v>
      </c>
    </row>
    <row r="38" spans="1:23" x14ac:dyDescent="0.3">
      <c r="A38" s="15" t="s">
        <v>59</v>
      </c>
      <c r="B38" s="47">
        <f>VLOOKUP(A38, 'All attendance'!A:D, 4, FALSE)</f>
        <v>1221.8458720682547</v>
      </c>
      <c r="C38" s="48">
        <f>B38/Stadium!$G$2</f>
        <v>0.14239799382164789</v>
      </c>
      <c r="D38" s="48">
        <f>B38/Stadium!$G$3</f>
        <v>0.15376775915303584</v>
      </c>
      <c r="E38" s="48">
        <f>B38/Stadium!$G$4</f>
        <v>0.15956568213299399</v>
      </c>
      <c r="F38" s="48">
        <f>B38/Stadium!$G$5</f>
        <v>0.16064701740889886</v>
      </c>
      <c r="G38" s="48">
        <f>B38/Stadium!$G$6</f>
        <v>0.16124662798532668</v>
      </c>
      <c r="H38" s="48">
        <f>B38/Stadium!$G$7</f>
        <v>0.16379594446765242</v>
      </c>
      <c r="I38" s="48">
        <f>B38/Stadium!$G$8</f>
        <v>0.16573200365159013</v>
      </c>
      <c r="J38" s="48">
        <f>B38/Stadium!$G$9</f>
        <v>0.16605420976714561</v>
      </c>
      <c r="K38" s="48">
        <f>B38/Stadium!$G$10</f>
        <v>0.16997682960684529</v>
      </c>
      <c r="L38" s="48">
        <f>B38/Stadium!$G$11</f>
        <v>0.17181433230240936</v>
      </c>
      <c r="M38" s="48">
        <f>B38/Stadium!$G$12</f>
        <v>0.17458090469067114</v>
      </c>
      <c r="N38" s="48">
        <f>B38/Stadium!$G$13</f>
        <v>0.17533596744542515</v>
      </c>
      <c r="O38" s="48">
        <f>B38/Stadium!$G$14</f>
        <v>0.22327668993135125</v>
      </c>
      <c r="P38" s="48">
        <f>B38/Stadium!$G$15</f>
        <v>0.22918548908317743</v>
      </c>
      <c r="Q38" s="48">
        <f>B38/Stadium!$G$16</f>
        <v>0.25240389719219047</v>
      </c>
      <c r="R38" s="48">
        <f>B38/Stadium!$G$17</f>
        <v>0.25248933233735316</v>
      </c>
      <c r="S38" s="49">
        <f t="shared" si="0"/>
        <v>6.25E-2</v>
      </c>
      <c r="T38" s="50">
        <f t="shared" si="1"/>
        <v>0.18264191756110715</v>
      </c>
      <c r="U38" s="40">
        <f t="shared" si="2"/>
        <v>0.18264191756110715</v>
      </c>
      <c r="V38" s="51">
        <f t="shared" si="3"/>
        <v>18.264191756110716</v>
      </c>
      <c r="W38" s="15" t="s">
        <v>59</v>
      </c>
    </row>
    <row r="39" spans="1:23" x14ac:dyDescent="0.3">
      <c r="A39" s="15" t="s">
        <v>77</v>
      </c>
      <c r="B39" s="47">
        <f>VLOOKUP(A39, 'All attendance'!A:D, 4, FALSE)</f>
        <v>1219.020135950921</v>
      </c>
      <c r="C39" s="48">
        <f>B39/Stadium!$G$2</f>
        <v>0.14206867310831064</v>
      </c>
      <c r="D39" s="48">
        <f>B39/Stadium!$G$3</f>
        <v>0.15341214383308988</v>
      </c>
      <c r="E39" s="48">
        <f>B39/Stadium!$G$4</f>
        <v>0.15919665808389119</v>
      </c>
      <c r="F39" s="48">
        <f>B39/Stadium!$G$5</f>
        <v>0.16027549257944892</v>
      </c>
      <c r="G39" s="48">
        <f>B39/Stadium!$G$6</f>
        <v>0.16087371644966375</v>
      </c>
      <c r="H39" s="48">
        <f>B39/Stadium!$G$7</f>
        <v>0.16341713718374226</v>
      </c>
      <c r="I39" s="48">
        <f>B39/Stadium!$G$8</f>
        <v>0.16534871888611996</v>
      </c>
      <c r="J39" s="48">
        <f>B39/Stadium!$G$9</f>
        <v>0.16567017984266744</v>
      </c>
      <c r="K39" s="48">
        <f>B39/Stadium!$G$10</f>
        <v>0.16958372792560222</v>
      </c>
      <c r="L39" s="48">
        <f>B39/Stadium!$G$11</f>
        <v>0.17141698106903272</v>
      </c>
      <c r="M39" s="48">
        <f>B39/Stadium!$G$12</f>
        <v>0.17417715526608443</v>
      </c>
      <c r="N39" s="48">
        <f>B39/Stadium!$G$13</f>
        <v>0.17493047180378621</v>
      </c>
      <c r="O39" s="48">
        <f>B39/Stadium!$G$14</f>
        <v>0.22276032283356847</v>
      </c>
      <c r="P39" s="48">
        <f>B39/Stadium!$G$15</f>
        <v>0.22865545683534991</v>
      </c>
      <c r="Q39" s="48">
        <f>B39/Stadium!$G$16</f>
        <v>0.25182016824179149</v>
      </c>
      <c r="R39" s="48">
        <f>B39/Stadium!$G$17</f>
        <v>0.25190540580297005</v>
      </c>
      <c r="S39" s="49">
        <f t="shared" si="0"/>
        <v>6.25E-2</v>
      </c>
      <c r="T39" s="50">
        <f t="shared" si="1"/>
        <v>0.18221952560906998</v>
      </c>
      <c r="U39" s="40">
        <f t="shared" si="2"/>
        <v>0.18221952560906998</v>
      </c>
      <c r="V39" s="51">
        <f t="shared" si="3"/>
        <v>18.221952560906999</v>
      </c>
      <c r="W39" s="15" t="s">
        <v>77</v>
      </c>
    </row>
    <row r="40" spans="1:23" x14ac:dyDescent="0.3">
      <c r="A40" s="15" t="s">
        <v>73</v>
      </c>
      <c r="B40" s="47">
        <f>VLOOKUP(A40, 'All attendance'!A:D, 4, FALSE)</f>
        <v>1111.2603809443272</v>
      </c>
      <c r="C40" s="48">
        <f>B40/Stadium!$G$2</f>
        <v>0.12950999178979319</v>
      </c>
      <c r="D40" s="48">
        <f>B40/Stadium!$G$3</f>
        <v>0.13985071482388467</v>
      </c>
      <c r="E40" s="48">
        <f>B40/Stadium!$G$4</f>
        <v>0.14512388572594609</v>
      </c>
      <c r="F40" s="48">
        <f>B40/Stadium!$G$5</f>
        <v>0.14610735269023389</v>
      </c>
      <c r="G40" s="48">
        <f>B40/Stadium!$G$6</f>
        <v>0.14665269436778242</v>
      </c>
      <c r="H40" s="48">
        <f>B40/Stadium!$G$7</f>
        <v>0.14897128009946847</v>
      </c>
      <c r="I40" s="48">
        <f>B40/Stadium!$G$8</f>
        <v>0.15073211255424571</v>
      </c>
      <c r="J40" s="48">
        <f>B40/Stadium!$G$9</f>
        <v>0.15102515679075704</v>
      </c>
      <c r="K40" s="48">
        <f>B40/Stadium!$G$10</f>
        <v>0.15459275244010498</v>
      </c>
      <c r="L40" s="48">
        <f>B40/Stadium!$G$11</f>
        <v>0.15626394844946934</v>
      </c>
      <c r="M40" s="48">
        <f>B40/Stadium!$G$12</f>
        <v>0.15878012692694435</v>
      </c>
      <c r="N40" s="48">
        <f>B40/Stadium!$G$13</f>
        <v>0.15946685128691987</v>
      </c>
      <c r="O40" s="48">
        <f>B40/Stadium!$G$14</f>
        <v>0.20306860724512182</v>
      </c>
      <c r="P40" s="48">
        <f>B40/Stadium!$G$15</f>
        <v>0.20844261925963808</v>
      </c>
      <c r="Q40" s="48">
        <f>B40/Stadium!$G$16</f>
        <v>0.22955960105740561</v>
      </c>
      <c r="R40" s="48">
        <f>B40/Stadium!$G$17</f>
        <v>0.22963730373180166</v>
      </c>
      <c r="S40" s="49">
        <f t="shared" si="0"/>
        <v>6.25E-2</v>
      </c>
      <c r="T40" s="50">
        <f t="shared" si="1"/>
        <v>0.16611156245246983</v>
      </c>
      <c r="U40" s="40">
        <f t="shared" si="2"/>
        <v>0.16611156245246983</v>
      </c>
      <c r="V40" s="51">
        <f t="shared" si="3"/>
        <v>16.611156245246981</v>
      </c>
      <c r="W40" s="15" t="s">
        <v>73</v>
      </c>
    </row>
    <row r="41" spans="1:23" x14ac:dyDescent="0.3">
      <c r="A41" s="15" t="s">
        <v>52</v>
      </c>
      <c r="B41" s="47">
        <f>VLOOKUP(A41, 'All attendance'!A:D, 4, FALSE)</f>
        <v>1093.7753275506423</v>
      </c>
      <c r="C41" s="48">
        <f>B41/Stadium!$G$2</f>
        <v>0.1274722253398313</v>
      </c>
      <c r="D41" s="48">
        <f>B41/Stadium!$G$3</f>
        <v>0.13765024294729111</v>
      </c>
      <c r="E41" s="48">
        <f>B41/Stadium!$G$4</f>
        <v>0.14284044348852834</v>
      </c>
      <c r="F41" s="48">
        <f>B41/Stadium!$G$5</f>
        <v>0.14380843615653388</v>
      </c>
      <c r="G41" s="48">
        <f>B41/Stadium!$G$6</f>
        <v>0.14434519719131564</v>
      </c>
      <c r="H41" s="48">
        <f>B41/Stadium!$G$7</f>
        <v>0.14662730128826373</v>
      </c>
      <c r="I41" s="48">
        <f>B41/Stadium!$G$8</f>
        <v>0.14836042804056382</v>
      </c>
      <c r="J41" s="48">
        <f>B41/Stadium!$G$9</f>
        <v>0.14864886139180469</v>
      </c>
      <c r="K41" s="48">
        <f>B41/Stadium!$G$10</f>
        <v>0.15216032294199316</v>
      </c>
      <c r="L41" s="48">
        <f>B41/Stadium!$G$11</f>
        <v>0.15380522362763671</v>
      </c>
      <c r="M41" s="48">
        <f>B41/Stadium!$G$12</f>
        <v>0.15628181146030776</v>
      </c>
      <c r="N41" s="48">
        <f>B41/Stadium!$G$13</f>
        <v>0.15695773060099638</v>
      </c>
      <c r="O41" s="48">
        <f>B41/Stadium!$G$14</f>
        <v>0.19987343759708229</v>
      </c>
      <c r="P41" s="48">
        <f>B41/Stadium!$G$15</f>
        <v>0.20516289257292117</v>
      </c>
      <c r="Q41" s="48">
        <f>B41/Stadium!$G$16</f>
        <v>0.22594761060912666</v>
      </c>
      <c r="R41" s="48">
        <f>B41/Stadium!$G$17</f>
        <v>0.22602409067590171</v>
      </c>
      <c r="S41" s="49">
        <f t="shared" si="0"/>
        <v>6.25E-2</v>
      </c>
      <c r="T41" s="50">
        <f t="shared" si="1"/>
        <v>0.16349789099563114</v>
      </c>
      <c r="U41" s="40">
        <f t="shared" si="2"/>
        <v>0.16349789099563114</v>
      </c>
      <c r="V41" s="51">
        <f t="shared" si="3"/>
        <v>16.349789099563115</v>
      </c>
      <c r="W41" s="15" t="s">
        <v>154</v>
      </c>
    </row>
    <row r="42" spans="1:23" x14ac:dyDescent="0.3">
      <c r="A42" s="15" t="s">
        <v>50</v>
      </c>
      <c r="B42" s="47">
        <f>VLOOKUP(A42, 'All attendance'!A:D, 4, FALSE)</f>
        <v>990.99410768415544</v>
      </c>
      <c r="C42" s="48">
        <f>B42/Stadium!$G$2</f>
        <v>0.11549375911417314</v>
      </c>
      <c r="D42" s="48">
        <f>B42/Stadium!$G$3</f>
        <v>0.12471535629490793</v>
      </c>
      <c r="E42" s="48">
        <f>B42/Stadium!$G$4</f>
        <v>0.12941783771363152</v>
      </c>
      <c r="F42" s="48">
        <f>B42/Stadium!$G$5</f>
        <v>0.13029486886080791</v>
      </c>
      <c r="G42" s="48">
        <f>B42/Stadium!$G$6</f>
        <v>0.13078119087713491</v>
      </c>
      <c r="H42" s="48">
        <f>B42/Stadium!$G$7</f>
        <v>0.13284884742069752</v>
      </c>
      <c r="I42" s="48">
        <f>B42/Stadium!$G$8</f>
        <v>0.1344191135952375</v>
      </c>
      <c r="J42" s="48">
        <f>B42/Stadium!$G$9</f>
        <v>0.13468044308799484</v>
      </c>
      <c r="K42" s="48">
        <f>B42/Stadium!$G$10</f>
        <v>0.13786193531765492</v>
      </c>
      <c r="L42" s="48">
        <f>B42/Stadium!$G$11</f>
        <v>0.13935226596064784</v>
      </c>
      <c r="M42" s="48">
        <f>B42/Stadium!$G$12</f>
        <v>0.14159613075401023</v>
      </c>
      <c r="N42" s="48">
        <f>B42/Stadium!$G$13</f>
        <v>0.14220853429687799</v>
      </c>
      <c r="O42" s="48">
        <f>B42/Stadium!$G$14</f>
        <v>0.18109148556572685</v>
      </c>
      <c r="P42" s="48">
        <f>B42/Stadium!$G$15</f>
        <v>0.18588389455675364</v>
      </c>
      <c r="Q42" s="48">
        <f>B42/Stadium!$G$16</f>
        <v>0.20471548874701712</v>
      </c>
      <c r="R42" s="48">
        <f>B42/Stadium!$G$17</f>
        <v>0.20478478204118852</v>
      </c>
      <c r="S42" s="49">
        <f t="shared" si="0"/>
        <v>6.25E-2</v>
      </c>
      <c r="T42" s="50">
        <f t="shared" si="1"/>
        <v>0.14813412088777889</v>
      </c>
      <c r="U42" s="40">
        <f t="shared" si="2"/>
        <v>0.14813412088777889</v>
      </c>
      <c r="V42" s="51">
        <f t="shared" si="3"/>
        <v>14.813412088777888</v>
      </c>
      <c r="W42" s="15" t="s">
        <v>50</v>
      </c>
    </row>
    <row r="43" spans="1:23" x14ac:dyDescent="0.3">
      <c r="A43" s="15" t="s">
        <v>71</v>
      </c>
      <c r="B43" s="47">
        <f>VLOOKUP(A43, 'All attendance'!A:D, 4, FALSE)</f>
        <v>894.32770205344832</v>
      </c>
      <c r="C43" s="48">
        <f>B43/Stadium!$G$2</f>
        <v>0.10422793373763711</v>
      </c>
      <c r="D43" s="48">
        <f>B43/Stadium!$G$3</f>
        <v>0.11255001128780716</v>
      </c>
      <c r="E43" s="48">
        <f>B43/Stadium!$G$4</f>
        <v>0.116793789700359</v>
      </c>
      <c r="F43" s="48">
        <f>B43/Stadium!$G$5</f>
        <v>0.11758527094570818</v>
      </c>
      <c r="G43" s="48">
        <f>B43/Stadium!$G$6</f>
        <v>0.1180241547371932</v>
      </c>
      <c r="H43" s="48">
        <f>B43/Stadium!$G$7</f>
        <v>0.1198901219623278</v>
      </c>
      <c r="I43" s="48">
        <f>B43/Stadium!$G$8</f>
        <v>0.12130721670446543</v>
      </c>
      <c r="J43" s="48">
        <f>B43/Stadium!$G$9</f>
        <v>0.12154305484207316</v>
      </c>
      <c r="K43" s="48">
        <f>B43/Stadium!$G$10</f>
        <v>0.12441420878011415</v>
      </c>
      <c r="L43" s="48">
        <f>B43/Stadium!$G$11</f>
        <v>0.12575916529288539</v>
      </c>
      <c r="M43" s="48">
        <f>B43/Stadium!$G$12</f>
        <v>0.12778415255447056</v>
      </c>
      <c r="N43" s="48">
        <f>B43/Stadium!$G$13</f>
        <v>0.12833681926457063</v>
      </c>
      <c r="O43" s="48">
        <f>B43/Stadium!$G$14</f>
        <v>0.16342693754851184</v>
      </c>
      <c r="P43" s="48">
        <f>B43/Stadium!$G$15</f>
        <v>0.16775187155872626</v>
      </c>
      <c r="Q43" s="48">
        <f>B43/Stadium!$G$16</f>
        <v>0.18474654007147698</v>
      </c>
      <c r="R43" s="48">
        <f>B43/Stadium!$G$17</f>
        <v>0.18480907415928183</v>
      </c>
      <c r="S43" s="49">
        <f t="shared" si="0"/>
        <v>6.25E-2</v>
      </c>
      <c r="T43" s="50">
        <f t="shared" si="1"/>
        <v>0.13368439519672554</v>
      </c>
      <c r="U43" s="40">
        <f t="shared" si="2"/>
        <v>0.13368439519672554</v>
      </c>
      <c r="V43" s="51">
        <f t="shared" si="3"/>
        <v>13.368439519672554</v>
      </c>
      <c r="W43" s="15" t="s">
        <v>71</v>
      </c>
    </row>
    <row r="44" spans="1:23" x14ac:dyDescent="0.3">
      <c r="A44" s="15" t="s">
        <v>92</v>
      </c>
      <c r="B44" s="47">
        <f>VLOOKUP(A44, 'All attendance'!A:D, 4, FALSE)</f>
        <v>851.06723233039929</v>
      </c>
      <c r="C44" s="48">
        <f>B44/Stadium!$G$2</f>
        <v>9.9186214285807442E-2</v>
      </c>
      <c r="D44" s="48">
        <f>B44/Stadium!$G$3</f>
        <v>0.1071057358343403</v>
      </c>
      <c r="E44" s="48">
        <f>B44/Stadium!$G$4</f>
        <v>0.11114423395969318</v>
      </c>
      <c r="F44" s="48">
        <f>B44/Stadium!$G$5</f>
        <v>0.11189742962988665</v>
      </c>
      <c r="G44" s="48">
        <f>B44/Stadium!$G$6</f>
        <v>0.11231508371001434</v>
      </c>
      <c r="H44" s="48">
        <f>B44/Stadium!$G$7</f>
        <v>0.11409079026396342</v>
      </c>
      <c r="I44" s="48">
        <f>B44/Stadium!$G$8</f>
        <v>0.11543933721981849</v>
      </c>
      <c r="J44" s="48">
        <f>B44/Stadium!$G$9</f>
        <v>0.11566376738181718</v>
      </c>
      <c r="K44" s="48">
        <f>B44/Stadium!$G$10</f>
        <v>0.11839603770066394</v>
      </c>
      <c r="L44" s="48">
        <f>B44/Stadium!$G$11</f>
        <v>0.11967593590162623</v>
      </c>
      <c r="M44" s="48">
        <f>B44/Stadium!$G$12</f>
        <v>0.12160297036591104</v>
      </c>
      <c r="N44" s="48">
        <f>B44/Stadium!$G$13</f>
        <v>0.12212890345093795</v>
      </c>
      <c r="O44" s="48">
        <f>B44/Stadium!$G$14</f>
        <v>0.15552164056675125</v>
      </c>
      <c r="P44" s="48">
        <f>B44/Stadium!$G$15</f>
        <v>0.15963736862664848</v>
      </c>
      <c r="Q44" s="48">
        <f>B44/Stadium!$G$16</f>
        <v>0.17580997008169647</v>
      </c>
      <c r="R44" s="48">
        <f>B44/Stadium!$G$17</f>
        <v>0.17586947926710153</v>
      </c>
      <c r="S44" s="49">
        <f t="shared" si="0"/>
        <v>6.25E-2</v>
      </c>
      <c r="T44" s="50">
        <f t="shared" si="1"/>
        <v>0.12721780614041733</v>
      </c>
      <c r="U44" s="40">
        <f t="shared" si="2"/>
        <v>0.12721780614041733</v>
      </c>
      <c r="V44" s="51">
        <f t="shared" si="3"/>
        <v>12.721780614041734</v>
      </c>
      <c r="W44" s="15" t="s">
        <v>92</v>
      </c>
    </row>
    <row r="45" spans="1:23" x14ac:dyDescent="0.3">
      <c r="A45" s="15" t="s">
        <v>22</v>
      </c>
      <c r="B45" s="47">
        <f>VLOOKUP(A45, 'All attendance'!A:D, 4, FALSE)</f>
        <v>556.88834096218545</v>
      </c>
      <c r="C45" s="48">
        <f>B45/Stadium!$G$2</f>
        <v>6.4901624950001208E-2</v>
      </c>
      <c r="D45" s="48">
        <f>B45/Stadium!$G$3</f>
        <v>7.0083694061392629E-2</v>
      </c>
      <c r="E45" s="48">
        <f>B45/Stadium!$G$4</f>
        <v>7.2726249708669116E-2</v>
      </c>
      <c r="F45" s="48">
        <f>B45/Stadium!$G$5</f>
        <v>7.3219096655725707E-2</v>
      </c>
      <c r="G45" s="48">
        <f>B45/Stadium!$G$6</f>
        <v>7.3492384921262047E-2</v>
      </c>
      <c r="H45" s="48">
        <f>B45/Stadium!$G$7</f>
        <v>7.4654302851243512E-2</v>
      </c>
      <c r="I45" s="48">
        <f>B45/Stadium!$G$8</f>
        <v>7.5536712663802449E-2</v>
      </c>
      <c r="J45" s="48">
        <f>B45/Stadium!$G$9</f>
        <v>7.5683566561860663E-2</v>
      </c>
      <c r="K45" s="48">
        <f>B45/Stadium!$G$10</f>
        <v>7.7471403558893703E-2</v>
      </c>
      <c r="L45" s="48">
        <f>B45/Stadium!$G$11</f>
        <v>7.8308893663856016E-2</v>
      </c>
      <c r="M45" s="48">
        <f>B45/Stadium!$G$12</f>
        <v>7.9569831677946901E-2</v>
      </c>
      <c r="N45" s="48">
        <f>B45/Stadium!$G$13</f>
        <v>7.9913971355814392E-2</v>
      </c>
      <c r="O45" s="48">
        <f>B45/Stadium!$G$14</f>
        <v>0.10176421451661835</v>
      </c>
      <c r="P45" s="48">
        <f>B45/Stadium!$G$15</f>
        <v>0.10445730489074978</v>
      </c>
      <c r="Q45" s="48">
        <f>B45/Stadium!$G$16</f>
        <v>0.11503970408462204</v>
      </c>
      <c r="R45" s="48">
        <f>B45/Stadium!$G$17</f>
        <v>0.11507864339549351</v>
      </c>
      <c r="S45" s="49">
        <f t="shared" si="0"/>
        <v>6.25E-2</v>
      </c>
      <c r="T45" s="50">
        <f t="shared" si="1"/>
        <v>8.3243849969872011E-2</v>
      </c>
      <c r="U45" s="40">
        <f t="shared" si="2"/>
        <v>8.3243849969872011E-2</v>
      </c>
      <c r="V45" s="51">
        <f t="shared" si="3"/>
        <v>8.3243849969872006</v>
      </c>
      <c r="W45" s="15" t="s">
        <v>22</v>
      </c>
    </row>
    <row r="46" spans="1:23" x14ac:dyDescent="0.3">
      <c r="A46" s="15" t="s">
        <v>67</v>
      </c>
      <c r="B46" s="47">
        <f>VLOOKUP(A46, 'All attendance'!A:D, 4, FALSE)</f>
        <v>370.91664222816314</v>
      </c>
      <c r="C46" s="48">
        <f>B46/Stadium!$G$2</f>
        <v>4.3227862806416106E-2</v>
      </c>
      <c r="D46" s="48">
        <f>B46/Stadium!$G$3</f>
        <v>4.6679390757729602E-2</v>
      </c>
      <c r="E46" s="48">
        <f>B46/Stadium!$G$4</f>
        <v>4.8439470464004902E-2</v>
      </c>
      <c r="F46" s="48">
        <f>B46/Stadium!$G$5</f>
        <v>4.8767732202109865E-2</v>
      </c>
      <c r="G46" s="48">
        <f>B46/Stadium!$G$6</f>
        <v>4.8949756421970449E-2</v>
      </c>
      <c r="H46" s="48">
        <f>B46/Stadium!$G$7</f>
        <v>4.9723654285209584E-2</v>
      </c>
      <c r="I46" s="48">
        <f>B46/Stadium!$G$8</f>
        <v>5.0311385183252878E-2</v>
      </c>
      <c r="J46" s="48">
        <f>B46/Stadium!$G$9</f>
        <v>5.040919752867163E-2</v>
      </c>
      <c r="K46" s="48">
        <f>B46/Stadium!$G$10</f>
        <v>5.1599990093380406E-2</v>
      </c>
      <c r="L46" s="48">
        <f>B46/Stadium!$G$11</f>
        <v>5.2157802126390859E-2</v>
      </c>
      <c r="M46" s="48">
        <f>B46/Stadium!$G$12</f>
        <v>5.2997652523395666E-2</v>
      </c>
      <c r="N46" s="48">
        <f>B46/Stadium!$G$13</f>
        <v>5.3226867474370478E-2</v>
      </c>
      <c r="O46" s="48">
        <f>B46/Stadium!$G$14</f>
        <v>6.7780267552869547E-2</v>
      </c>
      <c r="P46" s="48">
        <f>B46/Stadium!$G$15</f>
        <v>6.9574006019478329E-2</v>
      </c>
      <c r="Q46" s="48">
        <f>B46/Stadium!$G$16</f>
        <v>7.6622435097607758E-2</v>
      </c>
      <c r="R46" s="48">
        <f>B46/Stadium!$G$17</f>
        <v>7.6648370706915298E-2</v>
      </c>
      <c r="S46" s="49">
        <f t="shared" si="0"/>
        <v>6.25E-2</v>
      </c>
      <c r="T46" s="50">
        <f t="shared" si="1"/>
        <v>5.5444740077735838E-2</v>
      </c>
      <c r="U46" s="40">
        <f t="shared" si="2"/>
        <v>5.5444740077735838E-2</v>
      </c>
      <c r="V46" s="51">
        <f t="shared" si="3"/>
        <v>5.5444740077735837</v>
      </c>
      <c r="W46" s="15" t="s">
        <v>67</v>
      </c>
    </row>
    <row r="47" spans="1:23" x14ac:dyDescent="0.3">
      <c r="A47" s="24" t="s">
        <v>91</v>
      </c>
      <c r="B47" s="47">
        <f>VLOOKUP(A47, 'All attendance'!A:D, 4, FALSE)</f>
        <v>173.96018620572954</v>
      </c>
      <c r="C47" s="48">
        <f>B47/Stadium!$G$2</f>
        <v>2.0273900404970558E-2</v>
      </c>
      <c r="D47" s="48">
        <f>B47/Stadium!$G$3</f>
        <v>2.189266962896087E-2</v>
      </c>
      <c r="E47" s="48">
        <f>B47/Stadium!$G$4</f>
        <v>2.2718148344613196E-2</v>
      </c>
      <c r="F47" s="48">
        <f>B47/Stadium!$G$5</f>
        <v>2.2872103348470445E-2</v>
      </c>
      <c r="G47" s="48">
        <f>B47/Stadium!$G$6</f>
        <v>2.2957472845483801E-2</v>
      </c>
      <c r="H47" s="48">
        <f>B47/Stadium!$G$7</f>
        <v>2.3320431529636025E-2</v>
      </c>
      <c r="I47" s="48">
        <f>B47/Stadium!$G$8</f>
        <v>2.3596077766074187E-2</v>
      </c>
      <c r="J47" s="48">
        <f>B47/Stadium!$G$9</f>
        <v>2.36419518301767E-2</v>
      </c>
      <c r="K47" s="48">
        <f>B47/Stadium!$G$10</f>
        <v>2.4200434445151176E-2</v>
      </c>
      <c r="L47" s="48">
        <f>B47/Stadium!$G$11</f>
        <v>2.4462048711222862E-2</v>
      </c>
      <c r="M47" s="48">
        <f>B47/Stadium!$G$12</f>
        <v>2.4855939183675811E-2</v>
      </c>
      <c r="N47" s="48">
        <f>B47/Stadium!$G$13</f>
        <v>2.4963441169332704E-2</v>
      </c>
      <c r="O47" s="48">
        <f>B47/Stadium!$G$14</f>
        <v>3.1788996831579958E-2</v>
      </c>
      <c r="P47" s="48">
        <f>B47/Stadium!$G$15</f>
        <v>3.2630261531328045E-2</v>
      </c>
      <c r="Q47" s="48">
        <f>B47/Stadium!$G$16</f>
        <v>3.5935980108751778E-2</v>
      </c>
      <c r="R47" s="48">
        <f>B47/Stadium!$G$17</f>
        <v>3.5948143929165441E-2</v>
      </c>
      <c r="S47" s="49">
        <f t="shared" si="0"/>
        <v>6.25E-2</v>
      </c>
      <c r="T47" s="50">
        <f t="shared" si="1"/>
        <v>2.6003625100537098E-2</v>
      </c>
      <c r="U47" s="40">
        <f t="shared" si="2"/>
        <v>2.6003625100537098E-2</v>
      </c>
      <c r="V47" s="51">
        <f t="shared" si="3"/>
        <v>2.60036251005371</v>
      </c>
      <c r="W47" s="24" t="s">
        <v>91</v>
      </c>
    </row>
    <row r="48" spans="1:23" x14ac:dyDescent="0.3">
      <c r="A48" s="15" t="s">
        <v>88</v>
      </c>
      <c r="B48" s="47">
        <f>VLOOKUP(A48, 'All attendance'!A:D, 4, FALSE)</f>
        <v>160.28716929902319</v>
      </c>
      <c r="C48" s="48">
        <f>B48/Stadium!$G$2</f>
        <v>1.8680401403571391E-2</v>
      </c>
      <c r="D48" s="48">
        <f>B48/Stadium!$G$3</f>
        <v>2.0171937727606653E-2</v>
      </c>
      <c r="E48" s="48">
        <f>B48/Stadium!$G$4</f>
        <v>2.0932535020208004E-2</v>
      </c>
      <c r="F48" s="48">
        <f>B48/Stadium!$G$5</f>
        <v>2.1074389385312642E-2</v>
      </c>
      <c r="G48" s="48">
        <f>B48/Stadium!$G$6</f>
        <v>2.1153048964376149E-2</v>
      </c>
      <c r="H48" s="48">
        <f>B48/Stadium!$G$7</f>
        <v>2.148747962534622E-2</v>
      </c>
      <c r="I48" s="48">
        <f>B48/Stadium!$G$8</f>
        <v>2.1741460469643262E-2</v>
      </c>
      <c r="J48" s="48">
        <f>B48/Stadium!$G$9</f>
        <v>2.1783728899216787E-2</v>
      </c>
      <c r="K48" s="48">
        <f>B48/Stadium!$G$10</f>
        <v>2.2298315595227273E-2</v>
      </c>
      <c r="L48" s="48">
        <f>B48/Stadium!$G$11</f>
        <v>2.2539367361562361E-2</v>
      </c>
      <c r="M48" s="48">
        <f>B48/Stadium!$G$12</f>
        <v>2.2902298617388173E-2</v>
      </c>
      <c r="N48" s="48">
        <f>B48/Stadium!$G$13</f>
        <v>2.3001351103769108E-2</v>
      </c>
      <c r="O48" s="48">
        <f>B48/Stadium!$G$14</f>
        <v>2.9290428046355746E-2</v>
      </c>
      <c r="P48" s="48">
        <f>B48/Stadium!$G$15</f>
        <v>3.0065570567727525E-2</v>
      </c>
      <c r="Q48" s="48">
        <f>B48/Stadium!$G$16</f>
        <v>3.3111464486510839E-2</v>
      </c>
      <c r="R48" s="48">
        <f>B48/Stadium!$G$17</f>
        <v>3.3122672248381481E-2</v>
      </c>
      <c r="S48" s="49">
        <f t="shared" si="0"/>
        <v>6.25E-2</v>
      </c>
      <c r="T48" s="50">
        <f t="shared" si="1"/>
        <v>2.3959778095137725E-2</v>
      </c>
      <c r="U48" s="40">
        <f t="shared" si="2"/>
        <v>2.3959778095137725E-2</v>
      </c>
      <c r="V48" s="51">
        <f t="shared" si="3"/>
        <v>2.3959778095137727</v>
      </c>
      <c r="W48" s="15" t="s">
        <v>88</v>
      </c>
    </row>
    <row r="49" spans="1:23" x14ac:dyDescent="0.3">
      <c r="A49" s="15" t="s">
        <v>40</v>
      </c>
      <c r="B49" s="47">
        <f>VLOOKUP(A49, 'All attendance'!A:D, 4, FALSE)</f>
        <v>137.58896291414644</v>
      </c>
      <c r="C49" s="48">
        <f>B49/Stadium!$G$2</f>
        <v>1.6035076713735542E-2</v>
      </c>
      <c r="D49" s="48">
        <f>B49/Stadium!$G$3</f>
        <v>1.7315397134080257E-2</v>
      </c>
      <c r="E49" s="48">
        <f>B49/Stadium!$G$4</f>
        <v>1.7968286527173839E-2</v>
      </c>
      <c r="F49" s="48">
        <f>B49/Stadium!$G$5</f>
        <v>1.8090052948434802E-2</v>
      </c>
      <c r="G49" s="48">
        <f>B49/Stadium!$G$6</f>
        <v>1.8157573573784551E-2</v>
      </c>
      <c r="H49" s="48">
        <f>B49/Stadium!$G$7</f>
        <v>1.8444645633331144E-2</v>
      </c>
      <c r="I49" s="48">
        <f>B49/Stadium!$G$8</f>
        <v>1.8662660344800019E-2</v>
      </c>
      <c r="J49" s="48">
        <f>B49/Stadium!$G$9</f>
        <v>1.8698943157794124E-2</v>
      </c>
      <c r="K49" s="48">
        <f>B49/Stadium!$G$10</f>
        <v>1.9140659423313895E-2</v>
      </c>
      <c r="L49" s="48">
        <f>B49/Stadium!$G$11</f>
        <v>1.9347575938738752E-2</v>
      </c>
      <c r="M49" s="48">
        <f>B49/Stadium!$G$12</f>
        <v>1.9659112634511613E-2</v>
      </c>
      <c r="N49" s="48">
        <f>B49/Stadium!$G$13</f>
        <v>1.9744138335163895E-2</v>
      </c>
      <c r="O49" s="48">
        <f>B49/Stadium!$G$14</f>
        <v>2.5142621432731702E-2</v>
      </c>
      <c r="P49" s="48">
        <f>B49/Stadium!$G$15</f>
        <v>2.5807996310163329E-2</v>
      </c>
      <c r="Q49" s="48">
        <f>B49/Stadium!$G$16</f>
        <v>2.842256232480225E-2</v>
      </c>
      <c r="R49" s="48">
        <f>B49/Stadium!$G$17</f>
        <v>2.843218295968597E-2</v>
      </c>
      <c r="S49" s="49">
        <f t="shared" si="0"/>
        <v>6.25E-2</v>
      </c>
      <c r="T49" s="50">
        <f t="shared" si="1"/>
        <v>2.0566842837015355E-2</v>
      </c>
      <c r="U49" s="40">
        <f t="shared" si="2"/>
        <v>2.0566842837015355E-2</v>
      </c>
      <c r="V49" s="51">
        <f t="shared" si="3"/>
        <v>2.0566842837015353</v>
      </c>
      <c r="W49" s="15" t="s">
        <v>40</v>
      </c>
    </row>
  </sheetData>
  <sortState xmlns:xlrd2="http://schemas.microsoft.com/office/spreadsheetml/2017/richdata2" ref="A2:W49">
    <sortCondition descending="1" ref="V2:V49"/>
  </sortState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CD75-8D11-5544-BF9E-8756BE783640}">
  <dimension ref="A1:D49"/>
  <sheetViews>
    <sheetView workbookViewId="0">
      <selection activeCell="F13" sqref="F13"/>
    </sheetView>
  </sheetViews>
  <sheetFormatPr defaultColWidth="11" defaultRowHeight="15.6" x14ac:dyDescent="0.3"/>
  <cols>
    <col min="2" max="2" width="20.796875" bestFit="1" customWidth="1"/>
    <col min="3" max="3" width="12.19921875" bestFit="1" customWidth="1"/>
    <col min="4" max="4" width="13.296875" bestFit="1" customWidth="1"/>
  </cols>
  <sheetData>
    <row r="1" spans="1:4" ht="27.6" x14ac:dyDescent="0.3">
      <c r="A1" s="56" t="s">
        <v>252</v>
      </c>
      <c r="B1" s="56" t="s">
        <v>253</v>
      </c>
      <c r="C1" s="56" t="s">
        <v>254</v>
      </c>
      <c r="D1" s="57" t="s">
        <v>255</v>
      </c>
    </row>
    <row r="2" spans="1:4" x14ac:dyDescent="0.3">
      <c r="A2" s="54">
        <v>1</v>
      </c>
      <c r="B2" s="54" t="s">
        <v>75</v>
      </c>
      <c r="C2" s="54">
        <v>1</v>
      </c>
      <c r="D2" s="55">
        <f>_xlfn.XLOOKUP(B2,'Spectator index'!$A:$A,'Spectator index'!$U:$U,"")</f>
        <v>0.27707779588580633</v>
      </c>
    </row>
    <row r="3" spans="1:4" x14ac:dyDescent="0.3">
      <c r="A3" s="54">
        <v>1</v>
      </c>
      <c r="B3" s="54" t="s">
        <v>12</v>
      </c>
      <c r="C3" s="54">
        <v>2</v>
      </c>
      <c r="D3" s="55">
        <f>_xlfn.XLOOKUP(B3,'Spectator index'!$A:$A,'Spectator index'!$U:$U,"")</f>
        <v>0.21107437322676778</v>
      </c>
    </row>
    <row r="4" spans="1:4" x14ac:dyDescent="0.3">
      <c r="A4" s="54">
        <v>1</v>
      </c>
      <c r="B4" s="54" t="s">
        <v>50</v>
      </c>
      <c r="C4" s="54">
        <v>3</v>
      </c>
      <c r="D4" s="55">
        <f>_xlfn.XLOOKUP(B4,'Spectator index'!$A:$A,'Spectator index'!$U:$U,"")</f>
        <v>0.14813412088777889</v>
      </c>
    </row>
    <row r="5" spans="1:4" x14ac:dyDescent="0.3">
      <c r="A5" s="54">
        <v>1</v>
      </c>
      <c r="B5" s="54" t="s">
        <v>76</v>
      </c>
      <c r="C5" s="54">
        <v>4</v>
      </c>
      <c r="D5" s="55">
        <f>_xlfn.XLOOKUP(B5,'Spectator index'!$A:$A,'Spectator index'!$U:$U,"")</f>
        <v>0.60817347171867575</v>
      </c>
    </row>
    <row r="6" spans="1:4" x14ac:dyDescent="0.3">
      <c r="A6" s="54">
        <v>2</v>
      </c>
      <c r="B6" s="54" t="s">
        <v>85</v>
      </c>
      <c r="C6" s="54">
        <v>1</v>
      </c>
      <c r="D6" s="55">
        <f>_xlfn.XLOOKUP(B6,'Spectator index'!$A:$A,'Spectator index'!$U:$U,"")</f>
        <v>0.21651775041412288</v>
      </c>
    </row>
    <row r="7" spans="1:4" x14ac:dyDescent="0.3">
      <c r="A7" s="54">
        <v>2</v>
      </c>
      <c r="B7" s="31" t="s">
        <v>109</v>
      </c>
      <c r="C7" s="54">
        <v>2</v>
      </c>
      <c r="D7" s="55">
        <f>_xlfn.XLOOKUP(B7,'Spectator index'!$A:$A,'Spectator index'!$U:$U,"")</f>
        <v>1</v>
      </c>
    </row>
    <row r="8" spans="1:4" x14ac:dyDescent="0.3">
      <c r="A8" s="54">
        <v>2</v>
      </c>
      <c r="B8" s="54" t="s">
        <v>83</v>
      </c>
      <c r="C8" s="54">
        <v>3</v>
      </c>
      <c r="D8" s="55">
        <f>_xlfn.XLOOKUP(B8,'Spectator index'!$A:$A,'Spectator index'!$U:$U,"")</f>
        <v>0.35897318031024061</v>
      </c>
    </row>
    <row r="9" spans="1:4" x14ac:dyDescent="0.3">
      <c r="A9" s="54">
        <v>2</v>
      </c>
      <c r="B9" s="54" t="s">
        <v>73</v>
      </c>
      <c r="C9" s="54">
        <v>4</v>
      </c>
      <c r="D9" s="55">
        <f>_xlfn.XLOOKUP(B9,'Spectator index'!$A:$A,'Spectator index'!$U:$U,"")</f>
        <v>0.16611156245246983</v>
      </c>
    </row>
    <row r="10" spans="1:4" x14ac:dyDescent="0.3">
      <c r="A10" s="54">
        <v>3</v>
      </c>
      <c r="B10" s="54" t="s">
        <v>36</v>
      </c>
      <c r="C10" s="54">
        <v>1</v>
      </c>
      <c r="D10" s="55">
        <f>_xlfn.XLOOKUP(B10,'Spectator index'!$A:$A,'Spectator index'!$U:$U,"")</f>
        <v>0.23804878145247019</v>
      </c>
    </row>
    <row r="11" spans="1:4" x14ac:dyDescent="0.3">
      <c r="A11" s="54">
        <v>3</v>
      </c>
      <c r="B11" s="54" t="s">
        <v>13</v>
      </c>
      <c r="C11" s="54">
        <v>2</v>
      </c>
      <c r="D11" s="55">
        <f>_xlfn.XLOOKUP(B11,'Spectator index'!$A:$A,'Spectator index'!$U:$U,"")</f>
        <v>0.29378896385098641</v>
      </c>
    </row>
    <row r="12" spans="1:4" x14ac:dyDescent="0.3">
      <c r="A12" s="54">
        <v>3</v>
      </c>
      <c r="B12" s="54" t="s">
        <v>98</v>
      </c>
      <c r="C12" s="54">
        <v>3</v>
      </c>
      <c r="D12" s="55">
        <f>_xlfn.XLOOKUP(B12,'Spectator index'!$A:$A,'Spectator index'!$U:$U,"")</f>
        <v>0.18392676663601318</v>
      </c>
    </row>
    <row r="13" spans="1:4" x14ac:dyDescent="0.3">
      <c r="A13" s="54">
        <v>3</v>
      </c>
      <c r="B13" s="54" t="s">
        <v>25</v>
      </c>
      <c r="C13" s="54">
        <v>4</v>
      </c>
      <c r="D13" s="55">
        <f>_xlfn.XLOOKUP(B13,'Spectator index'!$A:$A,'Spectator index'!$U:$U,"")</f>
        <v>0.39787915293860848</v>
      </c>
    </row>
    <row r="14" spans="1:4" x14ac:dyDescent="0.3">
      <c r="A14" s="54">
        <v>4</v>
      </c>
      <c r="B14" s="54" t="s">
        <v>96</v>
      </c>
      <c r="C14" s="54">
        <v>1</v>
      </c>
      <c r="D14" s="55">
        <f>_xlfn.XLOOKUP(B14,'Spectator index'!$A:$A,'Spectator index'!$U:$U,"")</f>
        <v>0.24742128726415252</v>
      </c>
    </row>
    <row r="15" spans="1:4" x14ac:dyDescent="0.3">
      <c r="A15" s="54">
        <v>4</v>
      </c>
      <c r="B15" s="31" t="s">
        <v>72</v>
      </c>
      <c r="C15" s="54">
        <v>2</v>
      </c>
      <c r="D15" s="55">
        <f>_xlfn.XLOOKUP(B15,'Spectator index'!$A:$A,'Spectator index'!$U:$U,"")</f>
        <v>0.20883764005523642</v>
      </c>
    </row>
    <row r="16" spans="1:4" x14ac:dyDescent="0.3">
      <c r="A16" s="54">
        <v>4</v>
      </c>
      <c r="B16" s="15" t="s">
        <v>52</v>
      </c>
      <c r="C16" s="54">
        <v>3</v>
      </c>
      <c r="D16" s="55">
        <f>_xlfn.XLOOKUP(B16,'Spectator index'!$A:$A,'Spectator index'!$U:$U,"")</f>
        <v>0.16349789099563114</v>
      </c>
    </row>
    <row r="17" spans="1:4" x14ac:dyDescent="0.3">
      <c r="A17" s="54">
        <v>4</v>
      </c>
      <c r="B17" s="54" t="s">
        <v>9</v>
      </c>
      <c r="C17" s="54">
        <v>4</v>
      </c>
      <c r="D17" s="55">
        <f>_xlfn.XLOOKUP(B17,'Spectator index'!$A:$A,'Spectator index'!$U:$U,"")</f>
        <v>0.25096051387907364</v>
      </c>
    </row>
    <row r="18" spans="1:4" x14ac:dyDescent="0.3">
      <c r="A18" s="54">
        <v>5</v>
      </c>
      <c r="B18" s="54" t="s">
        <v>90</v>
      </c>
      <c r="C18" s="54">
        <v>1</v>
      </c>
      <c r="D18" s="55">
        <f>_xlfn.XLOOKUP(B18,'Spectator index'!$A:$A,'Spectator index'!$U:$U,"")</f>
        <v>0.30155814765475697</v>
      </c>
    </row>
    <row r="19" spans="1:4" x14ac:dyDescent="0.3">
      <c r="A19" s="54">
        <v>5</v>
      </c>
      <c r="B19" s="54" t="s">
        <v>8</v>
      </c>
      <c r="C19" s="54">
        <v>2</v>
      </c>
      <c r="D19" s="55">
        <f>_xlfn.XLOOKUP(B19,'Spectator index'!$A:$A,'Spectator index'!$U:$U,"")</f>
        <v>1</v>
      </c>
    </row>
    <row r="20" spans="1:4" x14ac:dyDescent="0.3">
      <c r="A20" s="54">
        <v>5</v>
      </c>
      <c r="B20" s="54" t="s">
        <v>68</v>
      </c>
      <c r="C20" s="54">
        <v>3</v>
      </c>
      <c r="D20" s="55">
        <f>_xlfn.XLOOKUP(B20,'Spectator index'!$A:$A,'Spectator index'!$U:$U,"")</f>
        <v>0.20320621892868179</v>
      </c>
    </row>
    <row r="21" spans="1:4" x14ac:dyDescent="0.3">
      <c r="A21" s="54">
        <v>5</v>
      </c>
      <c r="B21" s="54" t="s">
        <v>77</v>
      </c>
      <c r="C21" s="54">
        <v>4</v>
      </c>
      <c r="D21" s="55">
        <f>_xlfn.XLOOKUP(B21,'Spectator index'!$A:$A,'Spectator index'!$U:$U,"")</f>
        <v>0.18221952560906998</v>
      </c>
    </row>
    <row r="22" spans="1:4" x14ac:dyDescent="0.3">
      <c r="A22" s="54">
        <v>6</v>
      </c>
      <c r="B22" s="54" t="s">
        <v>95</v>
      </c>
      <c r="C22" s="54">
        <v>1</v>
      </c>
      <c r="D22" s="55">
        <f>_xlfn.XLOOKUP(B22,'Spectator index'!$A:$A,'Spectator index'!$U:$U,"")</f>
        <v>0.19124068616593209</v>
      </c>
    </row>
    <row r="23" spans="1:4" x14ac:dyDescent="0.3">
      <c r="A23" s="54">
        <v>6</v>
      </c>
      <c r="B23" s="54" t="s">
        <v>64</v>
      </c>
      <c r="C23" s="54">
        <v>2</v>
      </c>
      <c r="D23" s="55">
        <f>_xlfn.XLOOKUP(B23,'Spectator index'!$A:$A,'Spectator index'!$U:$U,"")</f>
        <v>0.18498080240047371</v>
      </c>
    </row>
    <row r="24" spans="1:4" x14ac:dyDescent="0.3">
      <c r="A24" s="54">
        <v>6</v>
      </c>
      <c r="B24" s="54" t="s">
        <v>71</v>
      </c>
      <c r="C24" s="54">
        <v>3</v>
      </c>
      <c r="D24" s="55">
        <f>_xlfn.XLOOKUP(B24,'Spectator index'!$A:$A,'Spectator index'!$U:$U,"")</f>
        <v>0.13368439519672554</v>
      </c>
    </row>
    <row r="25" spans="1:4" x14ac:dyDescent="0.3">
      <c r="A25" s="54">
        <v>6</v>
      </c>
      <c r="B25" s="54" t="s">
        <v>55</v>
      </c>
      <c r="C25" s="54">
        <v>4</v>
      </c>
      <c r="D25" s="55">
        <f>_xlfn.XLOOKUP(B25,'Spectator index'!$A:$A,'Spectator index'!$U:$U,"")</f>
        <v>0.21917085003520509</v>
      </c>
    </row>
    <row r="26" spans="1:4" x14ac:dyDescent="0.3">
      <c r="A26" s="54">
        <v>7</v>
      </c>
      <c r="B26" s="54" t="s">
        <v>63</v>
      </c>
      <c r="C26" s="54">
        <v>1</v>
      </c>
      <c r="D26" s="55">
        <f>_xlfn.XLOOKUP(B26,'Spectator index'!$A:$A,'Spectator index'!$U:$U,"")</f>
        <v>0.28523281546418222</v>
      </c>
    </row>
    <row r="27" spans="1:4" x14ac:dyDescent="0.3">
      <c r="A27" s="54">
        <v>7</v>
      </c>
      <c r="B27" s="54" t="s">
        <v>93</v>
      </c>
      <c r="C27" s="54">
        <v>2</v>
      </c>
      <c r="D27" s="55">
        <f>_xlfn.XLOOKUP(B27,'Spectator index'!$A:$A,'Spectator index'!$U:$U,"")</f>
        <v>0.21039147681599052</v>
      </c>
    </row>
    <row r="28" spans="1:4" x14ac:dyDescent="0.3">
      <c r="A28" s="54">
        <v>7</v>
      </c>
      <c r="B28" s="54" t="s">
        <v>21</v>
      </c>
      <c r="C28" s="54">
        <v>3</v>
      </c>
      <c r="D28" s="55">
        <f>_xlfn.XLOOKUP(B28,'Spectator index'!$A:$A,'Spectator index'!$U:$U,"")</f>
        <v>1</v>
      </c>
    </row>
    <row r="29" spans="1:4" x14ac:dyDescent="0.3">
      <c r="A29" s="54">
        <v>7</v>
      </c>
      <c r="B29" s="54" t="s">
        <v>97</v>
      </c>
      <c r="C29" s="54">
        <v>4</v>
      </c>
      <c r="D29" s="55">
        <f>_xlfn.XLOOKUP(B29,'Spectator index'!$A:$A,'Spectator index'!$U:$U,"")</f>
        <v>0.28002108737558773</v>
      </c>
    </row>
    <row r="30" spans="1:4" x14ac:dyDescent="0.3">
      <c r="A30" s="54">
        <v>8</v>
      </c>
      <c r="B30" s="54" t="s">
        <v>81</v>
      </c>
      <c r="C30" s="54">
        <v>1</v>
      </c>
      <c r="D30" s="55">
        <f>_xlfn.XLOOKUP(B30,'Spectator index'!$A:$A,'Spectator index'!$U:$U,"")</f>
        <v>0.20768958232117604</v>
      </c>
    </row>
    <row r="31" spans="1:4" x14ac:dyDescent="0.3">
      <c r="A31" s="54">
        <v>8</v>
      </c>
      <c r="B31" s="54" t="s">
        <v>22</v>
      </c>
      <c r="C31" s="54">
        <v>2</v>
      </c>
      <c r="D31" s="55">
        <f>_xlfn.XLOOKUP(B31,'Spectator index'!$A:$A,'Spectator index'!$U:$U,"")</f>
        <v>8.3243849969872011E-2</v>
      </c>
    </row>
    <row r="32" spans="1:4" x14ac:dyDescent="0.3">
      <c r="A32" s="54">
        <v>8</v>
      </c>
      <c r="B32" s="54" t="s">
        <v>41</v>
      </c>
      <c r="C32" s="54">
        <v>3</v>
      </c>
      <c r="D32" s="55">
        <f>_xlfn.XLOOKUP(B32,'Spectator index'!$A:$A,'Spectator index'!$U:$U,"")</f>
        <v>0.19124068616593209</v>
      </c>
    </row>
    <row r="33" spans="1:4" x14ac:dyDescent="0.3">
      <c r="A33" s="54">
        <v>8</v>
      </c>
      <c r="B33" s="54" t="s">
        <v>82</v>
      </c>
      <c r="C33" s="54">
        <v>4</v>
      </c>
      <c r="D33" s="55">
        <f>_xlfn.XLOOKUP(B33,'Spectator index'!$A:$A,'Spectator index'!$U:$U,"")</f>
        <v>0.24438476565372225</v>
      </c>
    </row>
    <row r="34" spans="1:4" x14ac:dyDescent="0.3">
      <c r="A34" s="54">
        <v>9</v>
      </c>
      <c r="B34" s="54" t="s">
        <v>37</v>
      </c>
      <c r="C34" s="54">
        <v>1</v>
      </c>
      <c r="D34" s="55">
        <f>_xlfn.XLOOKUP(B34,'Spectator index'!$A:$A,'Spectator index'!$U:$U,"")</f>
        <v>0.30952032392244272</v>
      </c>
    </row>
    <row r="35" spans="1:4" x14ac:dyDescent="0.3">
      <c r="A35" s="54">
        <v>9</v>
      </c>
      <c r="B35" s="54" t="s">
        <v>78</v>
      </c>
      <c r="C35" s="54">
        <v>2</v>
      </c>
      <c r="D35" s="55">
        <f>_xlfn.XLOOKUP(B35,'Spectator index'!$A:$A,'Spectator index'!$U:$U,"")</f>
        <v>0.21310326836023649</v>
      </c>
    </row>
    <row r="36" spans="1:4" x14ac:dyDescent="0.3">
      <c r="A36" s="54">
        <v>9</v>
      </c>
      <c r="B36" s="54" t="s">
        <v>67</v>
      </c>
      <c r="C36" s="54">
        <v>3</v>
      </c>
      <c r="D36" s="55">
        <f>_xlfn.XLOOKUP(B36,'Spectator index'!$A:$A,'Spectator index'!$U:$U,"")</f>
        <v>5.5444740077735838E-2</v>
      </c>
    </row>
    <row r="37" spans="1:4" x14ac:dyDescent="0.3">
      <c r="A37" s="54">
        <v>9</v>
      </c>
      <c r="B37" s="54" t="s">
        <v>88</v>
      </c>
      <c r="C37" s="54">
        <v>4</v>
      </c>
      <c r="D37" s="55">
        <f>_xlfn.XLOOKUP(B37,'Spectator index'!$A:$A,'Spectator index'!$U:$U,"")</f>
        <v>2.3959778095137725E-2</v>
      </c>
    </row>
    <row r="38" spans="1:4" x14ac:dyDescent="0.3">
      <c r="A38" s="54">
        <v>10</v>
      </c>
      <c r="B38" s="54" t="s">
        <v>80</v>
      </c>
      <c r="C38" s="54">
        <v>1</v>
      </c>
      <c r="D38" s="55">
        <f>_xlfn.XLOOKUP(B38,'Spectator index'!$A:$A,'Spectator index'!$U:$U,"")</f>
        <v>0.25657110946362488</v>
      </c>
    </row>
    <row r="39" spans="1:4" x14ac:dyDescent="0.3">
      <c r="A39" s="54">
        <v>10</v>
      </c>
      <c r="B39" s="54" t="s">
        <v>26</v>
      </c>
      <c r="C39" s="54">
        <v>2</v>
      </c>
      <c r="D39" s="55">
        <f>_xlfn.XLOOKUP(B39,'Spectator index'!$A:$A,'Spectator index'!$U:$U,"")</f>
        <v>0.2143651421627597</v>
      </c>
    </row>
    <row r="40" spans="1:4" x14ac:dyDescent="0.3">
      <c r="A40" s="54">
        <v>10</v>
      </c>
      <c r="B40" s="54" t="s">
        <v>58</v>
      </c>
      <c r="C40" s="54">
        <v>3</v>
      </c>
      <c r="D40" s="55">
        <f>_xlfn.XLOOKUP(B40,'Spectator index'!$A:$A,'Spectator index'!$U:$U,"")</f>
        <v>0.31950666562593377</v>
      </c>
    </row>
    <row r="41" spans="1:4" x14ac:dyDescent="0.3">
      <c r="A41" s="54">
        <v>10</v>
      </c>
      <c r="B41" s="54" t="s">
        <v>40</v>
      </c>
      <c r="C41" s="54">
        <v>4</v>
      </c>
      <c r="D41" s="55">
        <f>_xlfn.XLOOKUP(B41,'Spectator index'!$A:$A,'Spectator index'!$U:$U,"")</f>
        <v>2.0566842837015355E-2</v>
      </c>
    </row>
    <row r="42" spans="1:4" x14ac:dyDescent="0.3">
      <c r="A42" s="54">
        <v>11</v>
      </c>
      <c r="B42" s="54" t="s">
        <v>70</v>
      </c>
      <c r="C42" s="54">
        <v>1</v>
      </c>
      <c r="D42" s="55">
        <f>_xlfn.XLOOKUP(B42,'Spectator index'!$A:$A,'Spectator index'!$U:$U,"")</f>
        <v>0.23916219951352011</v>
      </c>
    </row>
    <row r="43" spans="1:4" x14ac:dyDescent="0.3">
      <c r="A43" s="54">
        <v>11</v>
      </c>
      <c r="B43" s="54" t="s">
        <v>59</v>
      </c>
      <c r="C43" s="54">
        <v>2</v>
      </c>
      <c r="D43" s="55">
        <f>_xlfn.XLOOKUP(B43,'Spectator index'!$A:$A,'Spectator index'!$U:$U,"")</f>
        <v>0.18264191756110715</v>
      </c>
    </row>
    <row r="44" spans="1:4" x14ac:dyDescent="0.3">
      <c r="A44" s="54">
        <v>11</v>
      </c>
      <c r="B44" s="54" t="s">
        <v>86</v>
      </c>
      <c r="C44" s="54">
        <v>3</v>
      </c>
      <c r="D44" s="55">
        <f>_xlfn.XLOOKUP(B44,'Spectator index'!$A:$A,'Spectator index'!$U:$U,"")</f>
        <v>0.27959936531842738</v>
      </c>
    </row>
    <row r="45" spans="1:4" x14ac:dyDescent="0.3">
      <c r="A45" s="54">
        <v>11</v>
      </c>
      <c r="B45" s="54" t="s">
        <v>92</v>
      </c>
      <c r="C45" s="54">
        <v>4</v>
      </c>
      <c r="D45" s="55">
        <f>_xlfn.XLOOKUP(B45,'Spectator index'!$A:$A,'Spectator index'!$U:$U,"")</f>
        <v>0.12721780614041733</v>
      </c>
    </row>
    <row r="46" spans="1:4" x14ac:dyDescent="0.3">
      <c r="A46" s="54">
        <v>12</v>
      </c>
      <c r="B46" s="54" t="s">
        <v>54</v>
      </c>
      <c r="C46" s="54">
        <v>1</v>
      </c>
      <c r="D46" s="55">
        <f>_xlfn.XLOOKUP(B46,'Spectator index'!$A:$A,'Spectator index'!$U:$U,"")</f>
        <v>0.3025973378450702</v>
      </c>
    </row>
    <row r="47" spans="1:4" x14ac:dyDescent="0.3">
      <c r="A47" s="54">
        <v>12</v>
      </c>
      <c r="B47" s="54" t="s">
        <v>87</v>
      </c>
      <c r="C47" s="54">
        <v>2</v>
      </c>
      <c r="D47" s="55">
        <f>_xlfn.XLOOKUP(B47,'Spectator index'!$A:$A,'Spectator index'!$U:$U,"")</f>
        <v>0.31427512689413967</v>
      </c>
    </row>
    <row r="48" spans="1:4" x14ac:dyDescent="0.3">
      <c r="A48" s="54">
        <v>12</v>
      </c>
      <c r="B48" s="54" t="s">
        <v>51</v>
      </c>
      <c r="C48" s="54">
        <v>3</v>
      </c>
      <c r="D48" s="55">
        <f>_xlfn.XLOOKUP(B48,'Spectator index'!$A:$A,'Spectator index'!$U:$U,"")</f>
        <v>0.21809632979845589</v>
      </c>
    </row>
    <row r="49" spans="1:4" x14ac:dyDescent="0.3">
      <c r="A49" s="54">
        <v>12</v>
      </c>
      <c r="B49" s="54" t="s">
        <v>91</v>
      </c>
      <c r="C49" s="54">
        <v>4</v>
      </c>
      <c r="D49" s="55">
        <f>_xlfn.XLOOKUP(B49,'Spectator index'!$A:$A,'Spectator index'!$U:$U,"")</f>
        <v>2.6003625100537098E-2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D724-25B5-4947-8C20-3653AC3F6663}">
  <dimension ref="A1:F73"/>
  <sheetViews>
    <sheetView workbookViewId="0">
      <selection activeCell="H5" sqref="H5"/>
    </sheetView>
  </sheetViews>
  <sheetFormatPr defaultColWidth="11" defaultRowHeight="15.6" x14ac:dyDescent="0.3"/>
  <cols>
    <col min="1" max="1" width="9.796875" bestFit="1" customWidth="1"/>
    <col min="2" max="2" width="6.296875" bestFit="1" customWidth="1"/>
    <col min="3" max="3" width="10.69921875" bestFit="1" customWidth="1"/>
    <col min="4" max="4" width="11" bestFit="1" customWidth="1"/>
  </cols>
  <sheetData>
    <row r="1" spans="1:6" x14ac:dyDescent="0.3">
      <c r="A1" s="58" t="s">
        <v>256</v>
      </c>
      <c r="B1" s="58" t="s">
        <v>257</v>
      </c>
      <c r="C1" s="58" t="s">
        <v>258</v>
      </c>
      <c r="D1" s="58" t="s">
        <v>259</v>
      </c>
      <c r="E1" s="58" t="s">
        <v>260</v>
      </c>
      <c r="F1" s="58" t="s">
        <v>261</v>
      </c>
    </row>
    <row r="2" spans="1:6" x14ac:dyDescent="0.3">
      <c r="A2" s="59">
        <v>1</v>
      </c>
      <c r="B2" s="59">
        <v>3</v>
      </c>
      <c r="C2" s="59" t="s">
        <v>262</v>
      </c>
      <c r="D2" s="59" t="s">
        <v>48</v>
      </c>
      <c r="E2" s="59">
        <v>3</v>
      </c>
      <c r="F2" s="59">
        <v>4</v>
      </c>
    </row>
    <row r="3" spans="1:6" x14ac:dyDescent="0.3">
      <c r="A3" s="59">
        <v>1</v>
      </c>
      <c r="B3" s="59">
        <v>8</v>
      </c>
      <c r="C3" s="59" t="s">
        <v>263</v>
      </c>
      <c r="D3" s="59" t="s">
        <v>20</v>
      </c>
      <c r="E3" s="59">
        <v>1</v>
      </c>
      <c r="F3" s="59">
        <v>3</v>
      </c>
    </row>
    <row r="4" spans="1:6" x14ac:dyDescent="0.3">
      <c r="A4" s="59">
        <v>1</v>
      </c>
      <c r="B4" s="59">
        <v>11</v>
      </c>
      <c r="C4" s="59" t="s">
        <v>264</v>
      </c>
      <c r="D4" s="59" t="s">
        <v>69</v>
      </c>
      <c r="E4" s="59">
        <v>2</v>
      </c>
      <c r="F4" s="59">
        <v>4</v>
      </c>
    </row>
    <row r="5" spans="1:6" x14ac:dyDescent="0.3">
      <c r="A5" s="59">
        <v>1</v>
      </c>
      <c r="B5" s="59">
        <v>14</v>
      </c>
      <c r="C5" s="59" t="s">
        <v>265</v>
      </c>
      <c r="D5" s="59" t="s">
        <v>20</v>
      </c>
      <c r="E5" s="59">
        <v>1</v>
      </c>
      <c r="F5" s="59">
        <v>4</v>
      </c>
    </row>
    <row r="6" spans="1:6" x14ac:dyDescent="0.3">
      <c r="A6" s="59">
        <v>1</v>
      </c>
      <c r="B6" s="59">
        <v>16</v>
      </c>
      <c r="C6" s="59" t="s">
        <v>266</v>
      </c>
      <c r="D6" s="59" t="s">
        <v>69</v>
      </c>
      <c r="E6" s="59">
        <v>1</v>
      </c>
      <c r="F6" s="59">
        <v>4</v>
      </c>
    </row>
    <row r="7" spans="1:6" x14ac:dyDescent="0.3">
      <c r="A7" s="59">
        <v>2</v>
      </c>
      <c r="B7" s="59">
        <v>5</v>
      </c>
      <c r="C7" s="59" t="s">
        <v>267</v>
      </c>
      <c r="D7" s="59" t="s">
        <v>69</v>
      </c>
      <c r="E7" s="59">
        <v>1</v>
      </c>
      <c r="F7" s="59">
        <v>2</v>
      </c>
    </row>
    <row r="8" spans="1:6" x14ac:dyDescent="0.3">
      <c r="A8" s="59">
        <v>2</v>
      </c>
      <c r="B8" s="59">
        <v>9</v>
      </c>
      <c r="C8" s="59" t="s">
        <v>268</v>
      </c>
      <c r="D8" s="59" t="s">
        <v>48</v>
      </c>
      <c r="E8" s="59">
        <v>1</v>
      </c>
      <c r="F8" s="59">
        <v>3</v>
      </c>
    </row>
    <row r="9" spans="1:6" x14ac:dyDescent="0.3">
      <c r="A9" s="59">
        <v>2</v>
      </c>
      <c r="B9" s="59">
        <v>14</v>
      </c>
      <c r="C9" s="59" t="s">
        <v>269</v>
      </c>
      <c r="D9" s="59" t="s">
        <v>20</v>
      </c>
      <c r="E9" s="59">
        <v>2</v>
      </c>
      <c r="F9" s="59">
        <v>3</v>
      </c>
    </row>
    <row r="10" spans="1:6" x14ac:dyDescent="0.3">
      <c r="A10" s="59">
        <v>2</v>
      </c>
      <c r="B10" s="59">
        <v>16</v>
      </c>
      <c r="C10" s="59" t="s">
        <v>270</v>
      </c>
      <c r="D10" s="59" t="s">
        <v>69</v>
      </c>
      <c r="E10" s="59">
        <v>2</v>
      </c>
      <c r="F10" s="59">
        <v>3</v>
      </c>
    </row>
    <row r="11" spans="1:6" x14ac:dyDescent="0.3">
      <c r="A11" s="59">
        <v>3</v>
      </c>
      <c r="B11" s="59">
        <v>3</v>
      </c>
      <c r="C11" s="59" t="s">
        <v>271</v>
      </c>
      <c r="D11" s="59" t="s">
        <v>20</v>
      </c>
      <c r="E11" s="59">
        <v>3</v>
      </c>
      <c r="F11" s="59">
        <v>4</v>
      </c>
    </row>
    <row r="12" spans="1:6" x14ac:dyDescent="0.3">
      <c r="A12" s="59">
        <v>3</v>
      </c>
      <c r="B12" s="59">
        <v>6</v>
      </c>
      <c r="C12" s="59" t="s">
        <v>272</v>
      </c>
      <c r="D12" s="59" t="s">
        <v>84</v>
      </c>
      <c r="E12" s="59">
        <v>3</v>
      </c>
      <c r="F12" s="59">
        <v>4</v>
      </c>
    </row>
    <row r="13" spans="1:6" x14ac:dyDescent="0.3">
      <c r="A13" s="59">
        <v>3</v>
      </c>
      <c r="B13" s="59">
        <v>9</v>
      </c>
      <c r="C13" s="59" t="s">
        <v>273</v>
      </c>
      <c r="D13" s="59" t="s">
        <v>48</v>
      </c>
      <c r="E13" s="59">
        <v>2</v>
      </c>
      <c r="F13" s="59">
        <v>4</v>
      </c>
    </row>
    <row r="14" spans="1:6" x14ac:dyDescent="0.3">
      <c r="A14" s="59">
        <v>3</v>
      </c>
      <c r="B14" s="59">
        <v>12</v>
      </c>
      <c r="C14" s="59" t="s">
        <v>274</v>
      </c>
      <c r="D14" s="59" t="s">
        <v>84</v>
      </c>
      <c r="E14" s="59">
        <v>2</v>
      </c>
      <c r="F14" s="59">
        <v>4</v>
      </c>
    </row>
    <row r="15" spans="1:6" x14ac:dyDescent="0.3">
      <c r="A15" s="59">
        <v>3</v>
      </c>
      <c r="B15" s="59">
        <v>15</v>
      </c>
      <c r="C15" s="59" t="s">
        <v>275</v>
      </c>
      <c r="D15" s="59" t="s">
        <v>48</v>
      </c>
      <c r="E15" s="59">
        <v>2</v>
      </c>
      <c r="F15" s="59">
        <v>3</v>
      </c>
    </row>
    <row r="16" spans="1:6" x14ac:dyDescent="0.3">
      <c r="A16" s="59">
        <v>4</v>
      </c>
      <c r="B16" s="59">
        <v>2</v>
      </c>
      <c r="C16" s="59" t="s">
        <v>276</v>
      </c>
      <c r="D16" s="59" t="s">
        <v>48</v>
      </c>
      <c r="E16" s="59">
        <v>1</v>
      </c>
      <c r="F16" s="59">
        <v>2</v>
      </c>
    </row>
    <row r="17" spans="1:6" x14ac:dyDescent="0.3">
      <c r="A17" s="59">
        <v>4</v>
      </c>
      <c r="B17" s="59">
        <v>5</v>
      </c>
      <c r="C17" s="59" t="s">
        <v>277</v>
      </c>
      <c r="D17" s="59" t="s">
        <v>69</v>
      </c>
      <c r="E17" s="59">
        <v>3</v>
      </c>
      <c r="F17" s="59">
        <v>4</v>
      </c>
    </row>
    <row r="18" spans="1:6" x14ac:dyDescent="0.3">
      <c r="A18" s="59">
        <v>4</v>
      </c>
      <c r="B18" s="59">
        <v>8</v>
      </c>
      <c r="C18" s="59" t="s">
        <v>278</v>
      </c>
      <c r="D18" s="59" t="s">
        <v>20</v>
      </c>
      <c r="E18" s="59">
        <v>2</v>
      </c>
      <c r="F18" s="59">
        <v>4</v>
      </c>
    </row>
    <row r="19" spans="1:6" x14ac:dyDescent="0.3">
      <c r="A19" s="59">
        <v>4</v>
      </c>
      <c r="B19" s="59">
        <v>11</v>
      </c>
      <c r="C19" s="59" t="s">
        <v>279</v>
      </c>
      <c r="D19" s="59" t="s">
        <v>69</v>
      </c>
      <c r="E19" s="59">
        <v>1</v>
      </c>
      <c r="F19" s="59">
        <v>3</v>
      </c>
    </row>
    <row r="20" spans="1:6" x14ac:dyDescent="0.3">
      <c r="A20" s="59">
        <v>4</v>
      </c>
      <c r="B20" s="59">
        <v>15</v>
      </c>
      <c r="C20" s="59" t="s">
        <v>280</v>
      </c>
      <c r="D20" s="59" t="s">
        <v>48</v>
      </c>
      <c r="E20" s="59">
        <v>1</v>
      </c>
      <c r="F20" s="59">
        <v>4</v>
      </c>
    </row>
    <row r="21" spans="1:6" x14ac:dyDescent="0.3">
      <c r="A21" s="59">
        <v>5</v>
      </c>
      <c r="B21" s="59">
        <v>1</v>
      </c>
      <c r="C21" s="59" t="s">
        <v>281</v>
      </c>
      <c r="D21" s="59" t="s">
        <v>7</v>
      </c>
      <c r="E21" s="59">
        <v>3</v>
      </c>
      <c r="F21" s="59">
        <v>4</v>
      </c>
    </row>
    <row r="22" spans="1:6" x14ac:dyDescent="0.3">
      <c r="A22" s="59">
        <v>5</v>
      </c>
      <c r="B22" s="59">
        <v>8</v>
      </c>
      <c r="C22" s="59" t="s">
        <v>282</v>
      </c>
      <c r="D22" s="59" t="s">
        <v>7</v>
      </c>
      <c r="E22" s="59">
        <v>1</v>
      </c>
      <c r="F22" s="59">
        <v>3</v>
      </c>
    </row>
    <row r="23" spans="1:6" x14ac:dyDescent="0.3">
      <c r="A23" s="59">
        <v>5</v>
      </c>
      <c r="B23" s="59">
        <v>13</v>
      </c>
      <c r="C23" s="59" t="s">
        <v>283</v>
      </c>
      <c r="D23" s="59" t="s">
        <v>89</v>
      </c>
      <c r="E23" s="59">
        <v>2</v>
      </c>
      <c r="F23" s="59">
        <v>4</v>
      </c>
    </row>
    <row r="24" spans="1:6" x14ac:dyDescent="0.3">
      <c r="A24" s="59">
        <v>5</v>
      </c>
      <c r="B24" s="59">
        <v>16</v>
      </c>
      <c r="C24" s="59" t="s">
        <v>284</v>
      </c>
      <c r="D24" s="59" t="s">
        <v>74</v>
      </c>
      <c r="E24" s="59">
        <v>1</v>
      </c>
      <c r="F24" s="59">
        <v>4</v>
      </c>
    </row>
    <row r="25" spans="1:6" x14ac:dyDescent="0.3">
      <c r="A25" s="59">
        <v>6</v>
      </c>
      <c r="B25" s="59">
        <v>1</v>
      </c>
      <c r="C25" s="59" t="s">
        <v>285</v>
      </c>
      <c r="D25" s="59" t="s">
        <v>7</v>
      </c>
      <c r="E25" s="59">
        <v>1</v>
      </c>
      <c r="F25" s="59">
        <v>2</v>
      </c>
    </row>
    <row r="26" spans="1:6" x14ac:dyDescent="0.3">
      <c r="A26" s="59">
        <v>6</v>
      </c>
      <c r="B26" s="59">
        <v>7</v>
      </c>
      <c r="C26" s="59" t="s">
        <v>286</v>
      </c>
      <c r="D26" s="59" t="s">
        <v>89</v>
      </c>
      <c r="E26" s="59">
        <v>3</v>
      </c>
      <c r="F26" s="59">
        <v>4</v>
      </c>
    </row>
    <row r="27" spans="1:6" x14ac:dyDescent="0.3">
      <c r="A27" s="59">
        <v>6</v>
      </c>
      <c r="B27" s="59">
        <v>14</v>
      </c>
      <c r="C27" s="59" t="s">
        <v>287</v>
      </c>
      <c r="D27" s="59" t="s">
        <v>7</v>
      </c>
      <c r="E27" s="59">
        <v>1</v>
      </c>
      <c r="F27" s="59">
        <v>4</v>
      </c>
    </row>
    <row r="28" spans="1:6" x14ac:dyDescent="0.3">
      <c r="A28" s="59">
        <v>7</v>
      </c>
      <c r="B28" s="59">
        <v>4</v>
      </c>
      <c r="C28" s="59" t="s">
        <v>288</v>
      </c>
      <c r="D28" s="59" t="s">
        <v>62</v>
      </c>
      <c r="E28" s="59">
        <v>3</v>
      </c>
      <c r="F28" s="59">
        <v>4</v>
      </c>
    </row>
    <row r="29" spans="1:6" x14ac:dyDescent="0.3">
      <c r="A29" s="59">
        <v>7</v>
      </c>
      <c r="B29" s="59">
        <v>10</v>
      </c>
      <c r="C29" s="59" t="s">
        <v>289</v>
      </c>
      <c r="D29" s="59" t="s">
        <v>62</v>
      </c>
      <c r="E29" s="59">
        <v>2</v>
      </c>
      <c r="F29" s="59">
        <v>4</v>
      </c>
    </row>
    <row r="30" spans="1:6" x14ac:dyDescent="0.3">
      <c r="A30" s="59">
        <v>7</v>
      </c>
      <c r="B30" s="59">
        <v>14</v>
      </c>
      <c r="C30" s="59" t="s">
        <v>290</v>
      </c>
      <c r="D30" s="59" t="s">
        <v>7</v>
      </c>
      <c r="E30" s="59">
        <v>2</v>
      </c>
      <c r="F30" s="59">
        <v>3</v>
      </c>
    </row>
    <row r="31" spans="1:6" x14ac:dyDescent="0.3">
      <c r="A31" s="59">
        <v>8</v>
      </c>
      <c r="B31" s="59">
        <v>4</v>
      </c>
      <c r="C31" s="59" t="s">
        <v>291</v>
      </c>
      <c r="D31" s="59" t="s">
        <v>53</v>
      </c>
      <c r="E31" s="59">
        <v>1</v>
      </c>
      <c r="F31" s="59">
        <v>2</v>
      </c>
    </row>
    <row r="32" spans="1:6" x14ac:dyDescent="0.3">
      <c r="A32" s="59">
        <v>8</v>
      </c>
      <c r="B32" s="59">
        <v>7</v>
      </c>
      <c r="C32" s="59" t="s">
        <v>292</v>
      </c>
      <c r="D32" s="59" t="s">
        <v>89</v>
      </c>
      <c r="E32" s="59">
        <v>1</v>
      </c>
      <c r="F32" s="59">
        <v>2</v>
      </c>
    </row>
    <row r="33" spans="1:6" x14ac:dyDescent="0.3">
      <c r="A33" s="59">
        <v>8</v>
      </c>
      <c r="B33" s="59">
        <v>10</v>
      </c>
      <c r="C33" s="59" t="s">
        <v>293</v>
      </c>
      <c r="D33" s="59" t="s">
        <v>62</v>
      </c>
      <c r="E33" s="59">
        <v>1</v>
      </c>
      <c r="F33" s="59">
        <v>3</v>
      </c>
    </row>
    <row r="34" spans="1:6" x14ac:dyDescent="0.3">
      <c r="A34" s="59">
        <v>8</v>
      </c>
      <c r="B34" s="59">
        <v>13</v>
      </c>
      <c r="C34" s="59" t="s">
        <v>294</v>
      </c>
      <c r="D34" s="59" t="s">
        <v>89</v>
      </c>
      <c r="E34" s="59">
        <v>1</v>
      </c>
      <c r="F34" s="59">
        <v>3</v>
      </c>
    </row>
    <row r="35" spans="1:6" x14ac:dyDescent="0.3">
      <c r="A35" s="59">
        <v>8</v>
      </c>
      <c r="B35" s="59">
        <v>16</v>
      </c>
      <c r="C35" s="59" t="s">
        <v>295</v>
      </c>
      <c r="D35" s="59" t="s">
        <v>74</v>
      </c>
      <c r="E35" s="59">
        <v>2</v>
      </c>
      <c r="F35" s="59">
        <v>3</v>
      </c>
    </row>
    <row r="36" spans="1:6" x14ac:dyDescent="0.3">
      <c r="A36" s="59">
        <v>9</v>
      </c>
      <c r="B36" s="59">
        <v>4</v>
      </c>
      <c r="C36" s="59" t="s">
        <v>296</v>
      </c>
      <c r="D36" s="59" t="s">
        <v>62</v>
      </c>
      <c r="E36" s="59">
        <v>1</v>
      </c>
      <c r="F36" s="59">
        <v>2</v>
      </c>
    </row>
    <row r="37" spans="1:6" x14ac:dyDescent="0.3">
      <c r="A37" s="59">
        <v>9</v>
      </c>
      <c r="B37" s="59">
        <v>7</v>
      </c>
      <c r="C37" s="59" t="s">
        <v>297</v>
      </c>
      <c r="D37" s="59" t="s">
        <v>94</v>
      </c>
      <c r="E37" s="59">
        <v>1</v>
      </c>
      <c r="F37" s="59">
        <v>2</v>
      </c>
    </row>
    <row r="38" spans="1:6" x14ac:dyDescent="0.3">
      <c r="A38" s="59">
        <v>9</v>
      </c>
      <c r="B38" s="59">
        <v>12</v>
      </c>
      <c r="C38" s="59" t="s">
        <v>298</v>
      </c>
      <c r="D38" s="59" t="s">
        <v>84</v>
      </c>
      <c r="E38" s="59">
        <v>1</v>
      </c>
      <c r="F38" s="59">
        <v>3</v>
      </c>
    </row>
    <row r="39" spans="1:6" x14ac:dyDescent="0.3">
      <c r="A39" s="59">
        <v>9</v>
      </c>
      <c r="B39" s="59">
        <v>15</v>
      </c>
      <c r="C39" s="59" t="s">
        <v>299</v>
      </c>
      <c r="D39" s="59" t="s">
        <v>62</v>
      </c>
      <c r="E39" s="59">
        <v>2</v>
      </c>
      <c r="F39" s="59">
        <v>3</v>
      </c>
    </row>
    <row r="40" spans="1:6" x14ac:dyDescent="0.3">
      <c r="A40" s="59">
        <v>9</v>
      </c>
      <c r="B40" s="59">
        <v>17</v>
      </c>
      <c r="C40" s="59" t="s">
        <v>300</v>
      </c>
      <c r="D40" s="59" t="s">
        <v>84</v>
      </c>
      <c r="E40" s="59">
        <v>1</v>
      </c>
      <c r="F40" s="59">
        <v>4</v>
      </c>
    </row>
    <row r="41" spans="1:6" x14ac:dyDescent="0.3">
      <c r="A41" s="59">
        <v>10</v>
      </c>
      <c r="B41" s="59">
        <v>6</v>
      </c>
      <c r="C41" s="59" t="s">
        <v>301</v>
      </c>
      <c r="D41" s="59" t="s">
        <v>84</v>
      </c>
      <c r="E41" s="59">
        <v>1</v>
      </c>
      <c r="F41" s="59">
        <v>2</v>
      </c>
    </row>
    <row r="42" spans="1:6" x14ac:dyDescent="0.3">
      <c r="A42" s="59">
        <v>10</v>
      </c>
      <c r="B42" s="59">
        <v>10</v>
      </c>
      <c r="C42" s="59" t="s">
        <v>302</v>
      </c>
      <c r="D42" s="59" t="s">
        <v>53</v>
      </c>
      <c r="E42" s="59">
        <v>2</v>
      </c>
      <c r="F42" s="59">
        <v>4</v>
      </c>
    </row>
    <row r="43" spans="1:6" x14ac:dyDescent="0.3">
      <c r="A43" s="59">
        <v>10</v>
      </c>
      <c r="B43" s="59">
        <v>15</v>
      </c>
      <c r="C43" s="59" t="s">
        <v>303</v>
      </c>
      <c r="D43" s="59" t="s">
        <v>62</v>
      </c>
      <c r="E43" s="59">
        <v>1</v>
      </c>
      <c r="F43" s="59">
        <v>4</v>
      </c>
    </row>
    <row r="44" spans="1:6" x14ac:dyDescent="0.3">
      <c r="A44" s="59">
        <v>10</v>
      </c>
      <c r="B44" s="59">
        <v>17</v>
      </c>
      <c r="C44" s="59" t="s">
        <v>304</v>
      </c>
      <c r="D44" s="59" t="s">
        <v>84</v>
      </c>
      <c r="E44" s="59">
        <v>2</v>
      </c>
      <c r="F44" s="59">
        <v>3</v>
      </c>
    </row>
    <row r="45" spans="1:6" x14ac:dyDescent="0.3">
      <c r="A45" s="59">
        <v>11</v>
      </c>
      <c r="B45" s="59">
        <v>5</v>
      </c>
      <c r="C45" s="59" t="s">
        <v>305</v>
      </c>
      <c r="D45" s="59" t="s">
        <v>74</v>
      </c>
      <c r="E45" s="59">
        <v>1</v>
      </c>
      <c r="F45" s="59">
        <v>2</v>
      </c>
    </row>
    <row r="46" spans="1:6" x14ac:dyDescent="0.3">
      <c r="A46" s="59">
        <v>11</v>
      </c>
      <c r="B46" s="59">
        <v>8</v>
      </c>
      <c r="C46" s="59" t="s">
        <v>306</v>
      </c>
      <c r="D46" s="59" t="s">
        <v>7</v>
      </c>
      <c r="E46" s="59">
        <v>2</v>
      </c>
      <c r="F46" s="59">
        <v>4</v>
      </c>
    </row>
    <row r="47" spans="1:6" x14ac:dyDescent="0.3">
      <c r="A47" s="59">
        <v>11</v>
      </c>
      <c r="B47" s="59">
        <v>11</v>
      </c>
      <c r="C47" s="59" t="s">
        <v>307</v>
      </c>
      <c r="D47" s="59" t="s">
        <v>74</v>
      </c>
      <c r="E47" s="59">
        <v>1</v>
      </c>
      <c r="F47" s="59">
        <v>3</v>
      </c>
    </row>
    <row r="48" spans="1:6" x14ac:dyDescent="0.3">
      <c r="A48" s="59">
        <v>11</v>
      </c>
      <c r="B48" s="59">
        <v>14</v>
      </c>
      <c r="C48" s="59" t="s">
        <v>308</v>
      </c>
      <c r="D48" s="59" t="s">
        <v>35</v>
      </c>
      <c r="E48" s="59">
        <v>2</v>
      </c>
      <c r="F48" s="59">
        <v>3</v>
      </c>
    </row>
    <row r="49" spans="1:6" x14ac:dyDescent="0.3">
      <c r="A49" s="59">
        <v>11</v>
      </c>
      <c r="B49" s="59">
        <v>17</v>
      </c>
      <c r="C49" s="59" t="s">
        <v>309</v>
      </c>
      <c r="D49" s="59" t="s">
        <v>89</v>
      </c>
      <c r="E49" s="59">
        <v>2</v>
      </c>
      <c r="F49" s="59">
        <v>3</v>
      </c>
    </row>
    <row r="50" spans="1:6" x14ac:dyDescent="0.3">
      <c r="A50" s="59">
        <v>12</v>
      </c>
      <c r="B50" s="59">
        <v>5</v>
      </c>
      <c r="C50" s="59" t="s">
        <v>310</v>
      </c>
      <c r="D50" s="59" t="s">
        <v>74</v>
      </c>
      <c r="E50" s="59">
        <v>3</v>
      </c>
      <c r="F50" s="59">
        <v>4</v>
      </c>
    </row>
    <row r="51" spans="1:6" x14ac:dyDescent="0.3">
      <c r="A51" s="59">
        <v>12</v>
      </c>
      <c r="B51" s="59">
        <v>11</v>
      </c>
      <c r="C51" s="59" t="s">
        <v>311</v>
      </c>
      <c r="D51" s="59" t="s">
        <v>74</v>
      </c>
      <c r="E51" s="59">
        <v>2</v>
      </c>
      <c r="F51" s="59">
        <v>4</v>
      </c>
    </row>
    <row r="52" spans="1:6" x14ac:dyDescent="0.3">
      <c r="A52" s="59">
        <v>12</v>
      </c>
      <c r="B52" s="59">
        <v>14</v>
      </c>
      <c r="C52" s="59" t="s">
        <v>312</v>
      </c>
      <c r="D52" s="59" t="s">
        <v>35</v>
      </c>
      <c r="E52" s="59">
        <v>1</v>
      </c>
      <c r="F52" s="59">
        <v>4</v>
      </c>
    </row>
    <row r="53" spans="1:6" x14ac:dyDescent="0.3">
      <c r="A53" s="59">
        <v>12</v>
      </c>
      <c r="B53" s="59">
        <v>17</v>
      </c>
      <c r="C53" s="59" t="s">
        <v>313</v>
      </c>
      <c r="D53" s="59" t="s">
        <v>89</v>
      </c>
      <c r="E53" s="59">
        <v>1</v>
      </c>
      <c r="F53" s="59">
        <v>4</v>
      </c>
    </row>
    <row r="54" spans="1:6" x14ac:dyDescent="0.3">
      <c r="A54" s="59">
        <v>13</v>
      </c>
      <c r="B54" s="59">
        <v>2</v>
      </c>
      <c r="C54" s="59" t="s">
        <v>314</v>
      </c>
      <c r="D54" s="59" t="s">
        <v>20</v>
      </c>
      <c r="E54" s="59">
        <v>1</v>
      </c>
      <c r="F54" s="59">
        <v>2</v>
      </c>
    </row>
    <row r="55" spans="1:6" x14ac:dyDescent="0.3">
      <c r="A55" s="59">
        <v>13</v>
      </c>
      <c r="B55" s="59">
        <v>7</v>
      </c>
      <c r="C55" s="59" t="s">
        <v>315</v>
      </c>
      <c r="D55" s="59" t="s">
        <v>94</v>
      </c>
      <c r="E55" s="59">
        <v>3</v>
      </c>
      <c r="F55" s="59">
        <v>4</v>
      </c>
    </row>
    <row r="56" spans="1:6" x14ac:dyDescent="0.3">
      <c r="A56" s="59">
        <v>13</v>
      </c>
      <c r="B56" s="59">
        <v>10</v>
      </c>
      <c r="C56" s="59" t="s">
        <v>316</v>
      </c>
      <c r="D56" s="59" t="s">
        <v>53</v>
      </c>
      <c r="E56" s="59">
        <v>1</v>
      </c>
      <c r="F56" s="59">
        <v>3</v>
      </c>
    </row>
    <row r="57" spans="1:6" x14ac:dyDescent="0.3">
      <c r="A57" s="59">
        <v>13</v>
      </c>
      <c r="B57" s="59">
        <v>13</v>
      </c>
      <c r="C57" s="59" t="s">
        <v>317</v>
      </c>
      <c r="D57" s="59" t="s">
        <v>94</v>
      </c>
      <c r="E57" s="59">
        <v>2</v>
      </c>
      <c r="F57" s="59">
        <v>4</v>
      </c>
    </row>
    <row r="58" spans="1:6" x14ac:dyDescent="0.3">
      <c r="A58" s="59">
        <v>13</v>
      </c>
      <c r="B58" s="59">
        <v>16</v>
      </c>
      <c r="C58" s="59" t="s">
        <v>318</v>
      </c>
      <c r="D58" s="59" t="s">
        <v>79</v>
      </c>
      <c r="E58" s="59">
        <v>2</v>
      </c>
      <c r="F58" s="59">
        <v>3</v>
      </c>
    </row>
    <row r="59" spans="1:6" x14ac:dyDescent="0.3">
      <c r="A59" s="59">
        <v>14</v>
      </c>
      <c r="B59" s="59">
        <v>3</v>
      </c>
      <c r="C59" s="59" t="s">
        <v>319</v>
      </c>
      <c r="D59" s="59" t="s">
        <v>35</v>
      </c>
      <c r="E59" s="59">
        <v>3</v>
      </c>
      <c r="F59" s="59">
        <v>4</v>
      </c>
    </row>
    <row r="60" spans="1:6" x14ac:dyDescent="0.3">
      <c r="A60" s="59">
        <v>14</v>
      </c>
      <c r="B60" s="59">
        <v>6</v>
      </c>
      <c r="C60" s="59" t="s">
        <v>320</v>
      </c>
      <c r="D60" s="59" t="s">
        <v>79</v>
      </c>
      <c r="E60" s="59">
        <v>3</v>
      </c>
      <c r="F60" s="59">
        <v>4</v>
      </c>
    </row>
    <row r="61" spans="1:6" x14ac:dyDescent="0.3">
      <c r="A61" s="59">
        <v>14</v>
      </c>
      <c r="B61" s="59">
        <v>9</v>
      </c>
      <c r="C61" s="59" t="s">
        <v>321</v>
      </c>
      <c r="D61" s="59" t="s">
        <v>35</v>
      </c>
      <c r="E61" s="59">
        <v>2</v>
      </c>
      <c r="F61" s="59">
        <v>4</v>
      </c>
    </row>
    <row r="62" spans="1:6" x14ac:dyDescent="0.3">
      <c r="A62" s="59">
        <v>14</v>
      </c>
      <c r="B62" s="59">
        <v>13</v>
      </c>
      <c r="C62" s="59" t="s">
        <v>322</v>
      </c>
      <c r="D62" s="59" t="s">
        <v>94</v>
      </c>
      <c r="E62" s="59">
        <v>1</v>
      </c>
      <c r="F62" s="59">
        <v>3</v>
      </c>
    </row>
    <row r="63" spans="1:6" x14ac:dyDescent="0.3">
      <c r="A63" s="59">
        <v>14</v>
      </c>
      <c r="B63" s="59">
        <v>16</v>
      </c>
      <c r="C63" s="59" t="s">
        <v>323</v>
      </c>
      <c r="D63" s="59" t="s">
        <v>79</v>
      </c>
      <c r="E63" s="59">
        <v>1</v>
      </c>
      <c r="F63" s="59">
        <v>4</v>
      </c>
    </row>
    <row r="64" spans="1:6" x14ac:dyDescent="0.3">
      <c r="A64" s="59">
        <v>15</v>
      </c>
      <c r="B64" s="59">
        <v>4</v>
      </c>
      <c r="C64" s="59" t="s">
        <v>324</v>
      </c>
      <c r="D64" s="59" t="s">
        <v>53</v>
      </c>
      <c r="E64" s="59">
        <v>3</v>
      </c>
      <c r="F64" s="59">
        <v>4</v>
      </c>
    </row>
    <row r="65" spans="1:6" x14ac:dyDescent="0.3">
      <c r="A65" s="59">
        <v>15</v>
      </c>
      <c r="B65" s="59">
        <v>9</v>
      </c>
      <c r="C65" s="59" t="s">
        <v>325</v>
      </c>
      <c r="D65" s="59" t="s">
        <v>35</v>
      </c>
      <c r="E65" s="59">
        <v>1</v>
      </c>
      <c r="F65" s="59">
        <v>3</v>
      </c>
    </row>
    <row r="66" spans="1:6" x14ac:dyDescent="0.3">
      <c r="A66" s="59">
        <v>15</v>
      </c>
      <c r="B66" s="59">
        <v>12</v>
      </c>
      <c r="C66" s="59" t="s">
        <v>326</v>
      </c>
      <c r="D66" s="59" t="s">
        <v>79</v>
      </c>
      <c r="E66" s="59">
        <v>1</v>
      </c>
      <c r="F66" s="59">
        <v>3</v>
      </c>
    </row>
    <row r="67" spans="1:6" x14ac:dyDescent="0.3">
      <c r="A67" s="59">
        <v>15</v>
      </c>
      <c r="B67" s="59">
        <v>15</v>
      </c>
      <c r="C67" s="59" t="s">
        <v>327</v>
      </c>
      <c r="D67" s="59" t="s">
        <v>53</v>
      </c>
      <c r="E67" s="59">
        <v>2</v>
      </c>
      <c r="F67" s="59">
        <v>3</v>
      </c>
    </row>
    <row r="68" spans="1:6" x14ac:dyDescent="0.3">
      <c r="A68" s="59">
        <v>15</v>
      </c>
      <c r="B68" s="59">
        <v>17</v>
      </c>
      <c r="C68" s="59" t="s">
        <v>328</v>
      </c>
      <c r="D68" s="59" t="s">
        <v>94</v>
      </c>
      <c r="E68" s="59">
        <v>2</v>
      </c>
      <c r="F68" s="59">
        <v>3</v>
      </c>
    </row>
    <row r="69" spans="1:6" x14ac:dyDescent="0.3">
      <c r="A69" s="59">
        <v>16</v>
      </c>
      <c r="B69" s="59">
        <v>3</v>
      </c>
      <c r="C69" s="59" t="s">
        <v>329</v>
      </c>
      <c r="D69" s="59" t="s">
        <v>35</v>
      </c>
      <c r="E69" s="59">
        <v>1</v>
      </c>
      <c r="F69" s="59">
        <v>2</v>
      </c>
    </row>
    <row r="70" spans="1:6" x14ac:dyDescent="0.3">
      <c r="A70" s="59">
        <v>16</v>
      </c>
      <c r="B70" s="59">
        <v>6</v>
      </c>
      <c r="C70" s="59" t="s">
        <v>330</v>
      </c>
      <c r="D70" s="59" t="s">
        <v>79</v>
      </c>
      <c r="E70" s="59">
        <v>1</v>
      </c>
      <c r="F70" s="59">
        <v>2</v>
      </c>
    </row>
    <row r="71" spans="1:6" x14ac:dyDescent="0.3">
      <c r="A71" s="59">
        <v>16</v>
      </c>
      <c r="B71" s="59">
        <v>12</v>
      </c>
      <c r="C71" s="59" t="s">
        <v>331</v>
      </c>
      <c r="D71" s="59" t="s">
        <v>79</v>
      </c>
      <c r="E71" s="59">
        <v>2</v>
      </c>
      <c r="F71" s="59">
        <v>4</v>
      </c>
    </row>
    <row r="72" spans="1:6" x14ac:dyDescent="0.3">
      <c r="A72" s="59">
        <v>16</v>
      </c>
      <c r="B72" s="59">
        <v>15</v>
      </c>
      <c r="C72" s="59" t="s">
        <v>332</v>
      </c>
      <c r="D72" s="59" t="s">
        <v>53</v>
      </c>
      <c r="E72" s="59">
        <v>1</v>
      </c>
      <c r="F72" s="59">
        <v>4</v>
      </c>
    </row>
    <row r="73" spans="1:6" x14ac:dyDescent="0.3">
      <c r="A73" s="59">
        <v>16</v>
      </c>
      <c r="B73" s="59">
        <v>17</v>
      </c>
      <c r="C73" s="59" t="s">
        <v>333</v>
      </c>
      <c r="D73" s="59" t="s">
        <v>94</v>
      </c>
      <c r="E73" s="59">
        <v>1</v>
      </c>
      <c r="F73" s="5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82B1-74DB-BB4F-8193-DAC6D8C32F38}">
  <dimension ref="A1:R17"/>
  <sheetViews>
    <sheetView workbookViewId="0">
      <selection activeCell="G7" sqref="G7"/>
    </sheetView>
  </sheetViews>
  <sheetFormatPr defaultColWidth="11" defaultRowHeight="15.6" x14ac:dyDescent="0.3"/>
  <sheetData>
    <row r="1" spans="1:18" x14ac:dyDescent="0.3">
      <c r="A1" s="58" t="s">
        <v>256</v>
      </c>
      <c r="B1" s="58" t="s">
        <v>334</v>
      </c>
      <c r="C1" s="58" t="s">
        <v>335</v>
      </c>
      <c r="D1" s="58" t="s">
        <v>336</v>
      </c>
      <c r="E1" s="58" t="s">
        <v>337</v>
      </c>
      <c r="F1" s="58" t="s">
        <v>338</v>
      </c>
      <c r="G1" s="58" t="s">
        <v>339</v>
      </c>
      <c r="H1" s="58" t="s">
        <v>340</v>
      </c>
      <c r="I1" s="58" t="s">
        <v>341</v>
      </c>
      <c r="J1" s="58" t="s">
        <v>342</v>
      </c>
      <c r="K1" s="58" t="s">
        <v>343</v>
      </c>
      <c r="L1" s="58" t="s">
        <v>344</v>
      </c>
      <c r="M1" s="58" t="s">
        <v>345</v>
      </c>
      <c r="N1" s="58" t="s">
        <v>346</v>
      </c>
      <c r="O1" s="58" t="s">
        <v>347</v>
      </c>
      <c r="P1" s="58" t="s">
        <v>348</v>
      </c>
      <c r="Q1" s="58" t="s">
        <v>349</v>
      </c>
      <c r="R1" s="58" t="s">
        <v>350</v>
      </c>
    </row>
    <row r="2" spans="1:18" x14ac:dyDescent="0.3">
      <c r="A2" s="59">
        <v>1</v>
      </c>
      <c r="B2" s="59" t="s">
        <v>351</v>
      </c>
      <c r="C2" s="59" t="s">
        <v>351</v>
      </c>
      <c r="D2" s="59" t="s">
        <v>262</v>
      </c>
      <c r="E2" s="59" t="s">
        <v>351</v>
      </c>
      <c r="F2" s="59" t="s">
        <v>351</v>
      </c>
      <c r="G2" s="59" t="s">
        <v>351</v>
      </c>
      <c r="H2" s="59" t="s">
        <v>351</v>
      </c>
      <c r="I2" s="59" t="s">
        <v>263</v>
      </c>
      <c r="J2" s="59" t="s">
        <v>351</v>
      </c>
      <c r="K2" s="59" t="s">
        <v>351</v>
      </c>
      <c r="L2" s="59" t="s">
        <v>264</v>
      </c>
      <c r="M2" s="59" t="s">
        <v>351</v>
      </c>
      <c r="N2" s="59" t="s">
        <v>351</v>
      </c>
      <c r="O2" s="59" t="s">
        <v>265</v>
      </c>
      <c r="P2" s="59" t="s">
        <v>351</v>
      </c>
      <c r="Q2" s="59" t="s">
        <v>266</v>
      </c>
      <c r="R2" s="59" t="s">
        <v>351</v>
      </c>
    </row>
    <row r="3" spans="1:18" x14ac:dyDescent="0.3">
      <c r="A3" s="59">
        <v>2</v>
      </c>
      <c r="B3" s="59" t="s">
        <v>351</v>
      </c>
      <c r="C3" s="59" t="s">
        <v>351</v>
      </c>
      <c r="D3" s="59" t="s">
        <v>351</v>
      </c>
      <c r="E3" s="59" t="s">
        <v>351</v>
      </c>
      <c r="F3" s="59" t="s">
        <v>267</v>
      </c>
      <c r="G3" s="59" t="s">
        <v>351</v>
      </c>
      <c r="H3" s="59" t="s">
        <v>351</v>
      </c>
      <c r="I3" s="59" t="s">
        <v>351</v>
      </c>
      <c r="J3" s="59" t="s">
        <v>268</v>
      </c>
      <c r="K3" s="59" t="s">
        <v>351</v>
      </c>
      <c r="L3" s="59" t="s">
        <v>351</v>
      </c>
      <c r="M3" s="59" t="s">
        <v>351</v>
      </c>
      <c r="N3" s="59" t="s">
        <v>351</v>
      </c>
      <c r="O3" s="59" t="s">
        <v>269</v>
      </c>
      <c r="P3" s="59" t="s">
        <v>351</v>
      </c>
      <c r="Q3" s="59" t="s">
        <v>270</v>
      </c>
      <c r="R3" s="59" t="s">
        <v>351</v>
      </c>
    </row>
    <row r="4" spans="1:18" x14ac:dyDescent="0.3">
      <c r="A4" s="59">
        <v>3</v>
      </c>
      <c r="B4" s="59" t="s">
        <v>351</v>
      </c>
      <c r="C4" s="59" t="s">
        <v>351</v>
      </c>
      <c r="D4" s="59" t="s">
        <v>271</v>
      </c>
      <c r="E4" s="59" t="s">
        <v>351</v>
      </c>
      <c r="F4" s="59" t="s">
        <v>351</v>
      </c>
      <c r="G4" s="59" t="s">
        <v>272</v>
      </c>
      <c r="H4" s="59" t="s">
        <v>351</v>
      </c>
      <c r="I4" s="59" t="s">
        <v>351</v>
      </c>
      <c r="J4" s="59" t="s">
        <v>273</v>
      </c>
      <c r="K4" s="59" t="s">
        <v>351</v>
      </c>
      <c r="L4" s="59" t="s">
        <v>351</v>
      </c>
      <c r="M4" s="59" t="s">
        <v>274</v>
      </c>
      <c r="N4" s="59" t="s">
        <v>351</v>
      </c>
      <c r="O4" s="59" t="s">
        <v>351</v>
      </c>
      <c r="P4" s="59" t="s">
        <v>275</v>
      </c>
      <c r="Q4" s="59" t="s">
        <v>351</v>
      </c>
      <c r="R4" s="59" t="s">
        <v>351</v>
      </c>
    </row>
    <row r="5" spans="1:18" x14ac:dyDescent="0.3">
      <c r="A5" s="59">
        <v>4</v>
      </c>
      <c r="B5" s="59" t="s">
        <v>351</v>
      </c>
      <c r="C5" s="59" t="s">
        <v>276</v>
      </c>
      <c r="D5" s="59" t="s">
        <v>351</v>
      </c>
      <c r="E5" s="59" t="s">
        <v>351</v>
      </c>
      <c r="F5" s="59" t="s">
        <v>277</v>
      </c>
      <c r="G5" s="59" t="s">
        <v>351</v>
      </c>
      <c r="H5" s="59" t="s">
        <v>351</v>
      </c>
      <c r="I5" s="59" t="s">
        <v>278</v>
      </c>
      <c r="J5" s="59" t="s">
        <v>351</v>
      </c>
      <c r="K5" s="59" t="s">
        <v>351</v>
      </c>
      <c r="L5" s="59" t="s">
        <v>279</v>
      </c>
      <c r="M5" s="59" t="s">
        <v>351</v>
      </c>
      <c r="N5" s="59" t="s">
        <v>351</v>
      </c>
      <c r="O5" s="59" t="s">
        <v>351</v>
      </c>
      <c r="P5" s="59" t="s">
        <v>280</v>
      </c>
      <c r="Q5" s="59" t="s">
        <v>351</v>
      </c>
      <c r="R5" s="59" t="s">
        <v>351</v>
      </c>
    </row>
    <row r="6" spans="1:18" x14ac:dyDescent="0.3">
      <c r="A6" s="59">
        <v>5</v>
      </c>
      <c r="B6" s="59" t="s">
        <v>281</v>
      </c>
      <c r="C6" s="59" t="s">
        <v>351</v>
      </c>
      <c r="D6" s="59" t="s">
        <v>351</v>
      </c>
      <c r="E6" s="59" t="s">
        <v>351</v>
      </c>
      <c r="F6" s="59" t="s">
        <v>351</v>
      </c>
      <c r="G6" s="59" t="s">
        <v>351</v>
      </c>
      <c r="H6" s="59" t="s">
        <v>351</v>
      </c>
      <c r="I6" s="59" t="s">
        <v>282</v>
      </c>
      <c r="J6" s="59" t="s">
        <v>351</v>
      </c>
      <c r="K6" s="59" t="s">
        <v>351</v>
      </c>
      <c r="L6" s="59" t="s">
        <v>351</v>
      </c>
      <c r="M6" s="59" t="s">
        <v>351</v>
      </c>
      <c r="N6" s="59" t="s">
        <v>283</v>
      </c>
      <c r="O6" s="59" t="s">
        <v>351</v>
      </c>
      <c r="P6" s="59" t="s">
        <v>351</v>
      </c>
      <c r="Q6" s="59" t="s">
        <v>284</v>
      </c>
      <c r="R6" s="59" t="s">
        <v>351</v>
      </c>
    </row>
    <row r="7" spans="1:18" x14ac:dyDescent="0.3">
      <c r="A7" s="59">
        <v>6</v>
      </c>
      <c r="B7" s="59" t="s">
        <v>285</v>
      </c>
      <c r="C7" s="59" t="s">
        <v>351</v>
      </c>
      <c r="D7" s="59" t="s">
        <v>351</v>
      </c>
      <c r="E7" s="59" t="s">
        <v>351</v>
      </c>
      <c r="F7" s="59" t="s">
        <v>351</v>
      </c>
      <c r="G7" s="59" t="s">
        <v>351</v>
      </c>
      <c r="H7" s="59" t="s">
        <v>286</v>
      </c>
      <c r="I7" s="59" t="s">
        <v>351</v>
      </c>
      <c r="J7" s="59" t="s">
        <v>351</v>
      </c>
      <c r="K7" s="59" t="s">
        <v>351</v>
      </c>
      <c r="L7" s="59" t="s">
        <v>351</v>
      </c>
      <c r="M7" s="59" t="s">
        <v>351</v>
      </c>
      <c r="N7" s="59" t="s">
        <v>351</v>
      </c>
      <c r="O7" s="59" t="s">
        <v>287</v>
      </c>
      <c r="P7" s="59" t="s">
        <v>351</v>
      </c>
      <c r="Q7" s="59" t="s">
        <v>351</v>
      </c>
      <c r="R7" s="59" t="s">
        <v>351</v>
      </c>
    </row>
    <row r="8" spans="1:18" x14ac:dyDescent="0.3">
      <c r="A8" s="59">
        <v>7</v>
      </c>
      <c r="B8" s="59" t="s">
        <v>351</v>
      </c>
      <c r="C8" s="59" t="s">
        <v>351</v>
      </c>
      <c r="D8" s="59" t="s">
        <v>351</v>
      </c>
      <c r="E8" s="59" t="s">
        <v>288</v>
      </c>
      <c r="F8" s="59" t="s">
        <v>351</v>
      </c>
      <c r="G8" s="59" t="s">
        <v>351</v>
      </c>
      <c r="H8" s="59" t="s">
        <v>351</v>
      </c>
      <c r="I8" s="59" t="s">
        <v>351</v>
      </c>
      <c r="J8" s="59" t="s">
        <v>351</v>
      </c>
      <c r="K8" s="59" t="s">
        <v>289</v>
      </c>
      <c r="L8" s="59" t="s">
        <v>351</v>
      </c>
      <c r="M8" s="59" t="s">
        <v>351</v>
      </c>
      <c r="N8" s="59" t="s">
        <v>351</v>
      </c>
      <c r="O8" s="59" t="s">
        <v>290</v>
      </c>
      <c r="P8" s="59" t="s">
        <v>351</v>
      </c>
      <c r="Q8" s="59" t="s">
        <v>351</v>
      </c>
      <c r="R8" s="59" t="s">
        <v>351</v>
      </c>
    </row>
    <row r="9" spans="1:18" x14ac:dyDescent="0.3">
      <c r="A9" s="59">
        <v>8</v>
      </c>
      <c r="B9" s="59" t="s">
        <v>351</v>
      </c>
      <c r="C9" s="59" t="s">
        <v>351</v>
      </c>
      <c r="D9" s="59" t="s">
        <v>351</v>
      </c>
      <c r="E9" s="59" t="s">
        <v>291</v>
      </c>
      <c r="F9" s="59" t="s">
        <v>351</v>
      </c>
      <c r="G9" s="59" t="s">
        <v>351</v>
      </c>
      <c r="H9" s="59" t="s">
        <v>292</v>
      </c>
      <c r="I9" s="59" t="s">
        <v>351</v>
      </c>
      <c r="J9" s="59" t="s">
        <v>351</v>
      </c>
      <c r="K9" s="59" t="s">
        <v>293</v>
      </c>
      <c r="L9" s="59" t="s">
        <v>351</v>
      </c>
      <c r="M9" s="59" t="s">
        <v>351</v>
      </c>
      <c r="N9" s="59" t="s">
        <v>294</v>
      </c>
      <c r="O9" s="59" t="s">
        <v>351</v>
      </c>
      <c r="P9" s="59" t="s">
        <v>351</v>
      </c>
      <c r="Q9" s="59" t="s">
        <v>295</v>
      </c>
      <c r="R9" s="59" t="s">
        <v>351</v>
      </c>
    </row>
    <row r="10" spans="1:18" x14ac:dyDescent="0.3">
      <c r="A10" s="59">
        <v>9</v>
      </c>
      <c r="B10" s="59" t="s">
        <v>351</v>
      </c>
      <c r="C10" s="59" t="s">
        <v>351</v>
      </c>
      <c r="D10" s="59" t="s">
        <v>351</v>
      </c>
      <c r="E10" s="59" t="s">
        <v>296</v>
      </c>
      <c r="F10" s="59" t="s">
        <v>351</v>
      </c>
      <c r="G10" s="59" t="s">
        <v>351</v>
      </c>
      <c r="H10" s="59" t="s">
        <v>297</v>
      </c>
      <c r="I10" s="59" t="s">
        <v>351</v>
      </c>
      <c r="J10" s="59" t="s">
        <v>351</v>
      </c>
      <c r="K10" s="59" t="s">
        <v>351</v>
      </c>
      <c r="L10" s="59" t="s">
        <v>351</v>
      </c>
      <c r="M10" s="59" t="s">
        <v>298</v>
      </c>
      <c r="N10" s="59" t="s">
        <v>351</v>
      </c>
      <c r="O10" s="59" t="s">
        <v>351</v>
      </c>
      <c r="P10" s="59" t="s">
        <v>299</v>
      </c>
      <c r="Q10" s="59" t="s">
        <v>351</v>
      </c>
      <c r="R10" s="59" t="s">
        <v>300</v>
      </c>
    </row>
    <row r="11" spans="1:18" x14ac:dyDescent="0.3">
      <c r="A11" s="59">
        <v>10</v>
      </c>
      <c r="B11" s="59" t="s">
        <v>351</v>
      </c>
      <c r="C11" s="59" t="s">
        <v>351</v>
      </c>
      <c r="D11" s="59" t="s">
        <v>351</v>
      </c>
      <c r="E11" s="59" t="s">
        <v>351</v>
      </c>
      <c r="F11" s="59" t="s">
        <v>351</v>
      </c>
      <c r="G11" s="59" t="s">
        <v>301</v>
      </c>
      <c r="H11" s="59" t="s">
        <v>351</v>
      </c>
      <c r="I11" s="59" t="s">
        <v>351</v>
      </c>
      <c r="J11" s="59" t="s">
        <v>351</v>
      </c>
      <c r="K11" s="59" t="s">
        <v>302</v>
      </c>
      <c r="L11" s="59" t="s">
        <v>351</v>
      </c>
      <c r="M11" s="59" t="s">
        <v>351</v>
      </c>
      <c r="N11" s="59" t="s">
        <v>351</v>
      </c>
      <c r="O11" s="59" t="s">
        <v>351</v>
      </c>
      <c r="P11" s="59" t="s">
        <v>303</v>
      </c>
      <c r="Q11" s="59" t="s">
        <v>351</v>
      </c>
      <c r="R11" s="59" t="s">
        <v>304</v>
      </c>
    </row>
    <row r="12" spans="1:18" x14ac:dyDescent="0.3">
      <c r="A12" s="59">
        <v>11</v>
      </c>
      <c r="B12" s="59" t="s">
        <v>351</v>
      </c>
      <c r="C12" s="59" t="s">
        <v>351</v>
      </c>
      <c r="D12" s="59" t="s">
        <v>351</v>
      </c>
      <c r="E12" s="59" t="s">
        <v>351</v>
      </c>
      <c r="F12" s="59" t="s">
        <v>305</v>
      </c>
      <c r="G12" s="59" t="s">
        <v>351</v>
      </c>
      <c r="H12" s="59" t="s">
        <v>351</v>
      </c>
      <c r="I12" s="59" t="s">
        <v>306</v>
      </c>
      <c r="J12" s="59" t="s">
        <v>351</v>
      </c>
      <c r="K12" s="59" t="s">
        <v>351</v>
      </c>
      <c r="L12" s="59" t="s">
        <v>307</v>
      </c>
      <c r="M12" s="59" t="s">
        <v>351</v>
      </c>
      <c r="N12" s="59" t="s">
        <v>351</v>
      </c>
      <c r="O12" s="59" t="s">
        <v>308</v>
      </c>
      <c r="P12" s="59" t="s">
        <v>351</v>
      </c>
      <c r="Q12" s="59" t="s">
        <v>351</v>
      </c>
      <c r="R12" s="59" t="s">
        <v>309</v>
      </c>
    </row>
    <row r="13" spans="1:18" x14ac:dyDescent="0.3">
      <c r="A13" s="59">
        <v>12</v>
      </c>
      <c r="B13" s="59" t="s">
        <v>351</v>
      </c>
      <c r="C13" s="59" t="s">
        <v>351</v>
      </c>
      <c r="D13" s="59" t="s">
        <v>351</v>
      </c>
      <c r="E13" s="59" t="s">
        <v>351</v>
      </c>
      <c r="F13" s="59" t="s">
        <v>310</v>
      </c>
      <c r="G13" s="59" t="s">
        <v>351</v>
      </c>
      <c r="H13" s="59" t="s">
        <v>351</v>
      </c>
      <c r="I13" s="59" t="s">
        <v>351</v>
      </c>
      <c r="J13" s="59" t="s">
        <v>351</v>
      </c>
      <c r="K13" s="59" t="s">
        <v>351</v>
      </c>
      <c r="L13" s="59" t="s">
        <v>311</v>
      </c>
      <c r="M13" s="59" t="s">
        <v>351</v>
      </c>
      <c r="N13" s="59" t="s">
        <v>351</v>
      </c>
      <c r="O13" s="59" t="s">
        <v>312</v>
      </c>
      <c r="P13" s="59" t="s">
        <v>351</v>
      </c>
      <c r="Q13" s="59" t="s">
        <v>351</v>
      </c>
      <c r="R13" s="59" t="s">
        <v>313</v>
      </c>
    </row>
    <row r="14" spans="1:18" x14ac:dyDescent="0.3">
      <c r="A14" s="59">
        <v>13</v>
      </c>
      <c r="B14" s="59" t="s">
        <v>351</v>
      </c>
      <c r="C14" s="59" t="s">
        <v>314</v>
      </c>
      <c r="D14" s="59" t="s">
        <v>351</v>
      </c>
      <c r="E14" s="59" t="s">
        <v>351</v>
      </c>
      <c r="F14" s="59" t="s">
        <v>351</v>
      </c>
      <c r="G14" s="59" t="s">
        <v>351</v>
      </c>
      <c r="H14" s="59" t="s">
        <v>315</v>
      </c>
      <c r="I14" s="59" t="s">
        <v>351</v>
      </c>
      <c r="J14" s="59" t="s">
        <v>351</v>
      </c>
      <c r="K14" s="59" t="s">
        <v>316</v>
      </c>
      <c r="L14" s="59" t="s">
        <v>351</v>
      </c>
      <c r="M14" s="59" t="s">
        <v>351</v>
      </c>
      <c r="N14" s="59" t="s">
        <v>317</v>
      </c>
      <c r="O14" s="59" t="s">
        <v>351</v>
      </c>
      <c r="P14" s="59" t="s">
        <v>351</v>
      </c>
      <c r="Q14" s="59" t="s">
        <v>318</v>
      </c>
      <c r="R14" s="59" t="s">
        <v>351</v>
      </c>
    </row>
    <row r="15" spans="1:18" x14ac:dyDescent="0.3">
      <c r="A15" s="59">
        <v>14</v>
      </c>
      <c r="B15" s="59" t="s">
        <v>351</v>
      </c>
      <c r="C15" s="59" t="s">
        <v>351</v>
      </c>
      <c r="D15" s="59" t="s">
        <v>319</v>
      </c>
      <c r="E15" s="59" t="s">
        <v>351</v>
      </c>
      <c r="F15" s="59" t="s">
        <v>351</v>
      </c>
      <c r="G15" s="59" t="s">
        <v>320</v>
      </c>
      <c r="H15" s="59" t="s">
        <v>351</v>
      </c>
      <c r="I15" s="59" t="s">
        <v>351</v>
      </c>
      <c r="J15" s="59" t="s">
        <v>321</v>
      </c>
      <c r="K15" s="59" t="s">
        <v>351</v>
      </c>
      <c r="L15" s="59" t="s">
        <v>351</v>
      </c>
      <c r="M15" s="59" t="s">
        <v>351</v>
      </c>
      <c r="N15" s="59" t="s">
        <v>322</v>
      </c>
      <c r="O15" s="59" t="s">
        <v>351</v>
      </c>
      <c r="P15" s="59" t="s">
        <v>351</v>
      </c>
      <c r="Q15" s="59" t="s">
        <v>323</v>
      </c>
      <c r="R15" s="59" t="s">
        <v>351</v>
      </c>
    </row>
    <row r="16" spans="1:18" x14ac:dyDescent="0.3">
      <c r="A16" s="59">
        <v>15</v>
      </c>
      <c r="B16" s="59" t="s">
        <v>351</v>
      </c>
      <c r="C16" s="59" t="s">
        <v>351</v>
      </c>
      <c r="D16" s="59" t="s">
        <v>351</v>
      </c>
      <c r="E16" s="59" t="s">
        <v>324</v>
      </c>
      <c r="F16" s="59" t="s">
        <v>351</v>
      </c>
      <c r="G16" s="59" t="s">
        <v>351</v>
      </c>
      <c r="H16" s="59" t="s">
        <v>351</v>
      </c>
      <c r="I16" s="59" t="s">
        <v>351</v>
      </c>
      <c r="J16" s="59" t="s">
        <v>325</v>
      </c>
      <c r="K16" s="59" t="s">
        <v>351</v>
      </c>
      <c r="L16" s="59" t="s">
        <v>351</v>
      </c>
      <c r="M16" s="59" t="s">
        <v>326</v>
      </c>
      <c r="N16" s="59" t="s">
        <v>351</v>
      </c>
      <c r="O16" s="59" t="s">
        <v>351</v>
      </c>
      <c r="P16" s="59" t="s">
        <v>327</v>
      </c>
      <c r="Q16" s="59" t="s">
        <v>351</v>
      </c>
      <c r="R16" s="59" t="s">
        <v>328</v>
      </c>
    </row>
    <row r="17" spans="1:18" x14ac:dyDescent="0.3">
      <c r="A17" s="59">
        <v>16</v>
      </c>
      <c r="B17" s="59" t="s">
        <v>351</v>
      </c>
      <c r="C17" s="59" t="s">
        <v>351</v>
      </c>
      <c r="D17" s="59" t="s">
        <v>329</v>
      </c>
      <c r="E17" s="59" t="s">
        <v>351</v>
      </c>
      <c r="F17" s="59" t="s">
        <v>351</v>
      </c>
      <c r="G17" s="59" t="s">
        <v>330</v>
      </c>
      <c r="H17" s="59" t="s">
        <v>351</v>
      </c>
      <c r="I17" s="59" t="s">
        <v>351</v>
      </c>
      <c r="J17" s="59" t="s">
        <v>351</v>
      </c>
      <c r="K17" s="59" t="s">
        <v>351</v>
      </c>
      <c r="L17" s="59" t="s">
        <v>351</v>
      </c>
      <c r="M17" s="59" t="s">
        <v>331</v>
      </c>
      <c r="N17" s="59" t="s">
        <v>351</v>
      </c>
      <c r="O17" s="59" t="s">
        <v>351</v>
      </c>
      <c r="P17" s="59" t="s">
        <v>332</v>
      </c>
      <c r="Q17" s="59" t="s">
        <v>351</v>
      </c>
      <c r="R17" s="5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Match Schedule (raw)</vt:lpstr>
      <vt:lpstr>Stadium</vt:lpstr>
      <vt:lpstr>Confederation</vt:lpstr>
      <vt:lpstr>Results Q2</vt:lpstr>
      <vt:lpstr>Russia 2018 FIFA attendance</vt:lpstr>
      <vt:lpstr>GDP</vt:lpstr>
      <vt:lpstr>Missing country attendance</vt:lpstr>
      <vt:lpstr>All attendance</vt:lpstr>
      <vt:lpstr>Spectator index</vt:lpstr>
      <vt:lpstr>groups_long</vt:lpstr>
      <vt:lpstr>match_list_long</vt:lpstr>
      <vt:lpstr>match_grid_norm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莹盈 罗</dc:creator>
  <cp:keywords/>
  <dc:description/>
  <cp:lastModifiedBy>Minh Anh Lê</cp:lastModifiedBy>
  <cp:revision/>
  <dcterms:created xsi:type="dcterms:W3CDTF">2026-02-21T16:03:18Z</dcterms:created>
  <dcterms:modified xsi:type="dcterms:W3CDTF">2026-03-12T11:30:01Z</dcterms:modified>
  <cp:category/>
  <cp:contentStatus/>
</cp:coreProperties>
</file>